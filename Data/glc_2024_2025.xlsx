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filterPrivacy="1" codeName="ThisWorkbook"/>
  <xr:revisionPtr revIDLastSave="0" documentId="8_{BA465D49-99D4-DE48-AA75-C7B5B1564873}" xr6:coauthVersionLast="47" xr6:coauthVersionMax="47" xr10:uidLastSave="{00000000-0000-0000-0000-000000000000}"/>
  <bookViews>
    <workbookView xWindow="13980" yWindow="740" windowWidth="15420" windowHeight="17080" xr2:uid="{00000000-000D-0000-FFFF-FFFF00000000}"/>
  </bookViews>
  <sheets>
    <sheet name="4. spot curve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0" l="1"/>
  <c r="J34" i="10" s="1"/>
  <c r="J32" i="10"/>
  <c r="G705" i="10"/>
  <c r="F705" i="10"/>
  <c r="G704" i="10"/>
  <c r="F704" i="10"/>
  <c r="G703" i="10"/>
  <c r="F703" i="10"/>
  <c r="G702" i="10"/>
  <c r="F702" i="10"/>
  <c r="G701" i="10"/>
  <c r="F701" i="10"/>
  <c r="G700" i="10"/>
  <c r="F700" i="10"/>
  <c r="G699" i="10"/>
  <c r="F699" i="10"/>
  <c r="G698" i="10"/>
  <c r="F698" i="10"/>
  <c r="G697" i="10"/>
  <c r="F697" i="10"/>
  <c r="G696" i="10"/>
  <c r="F696" i="10"/>
  <c r="G695" i="10"/>
  <c r="F695" i="10"/>
  <c r="G694" i="10"/>
  <c r="F694" i="10"/>
  <c r="G693" i="10"/>
  <c r="F693" i="10"/>
  <c r="G692" i="10"/>
  <c r="F692" i="10"/>
  <c r="G691" i="10"/>
  <c r="F691" i="10"/>
  <c r="G690" i="10"/>
  <c r="F690" i="10"/>
  <c r="G689" i="10"/>
  <c r="F689" i="10"/>
  <c r="G688" i="10"/>
  <c r="F688" i="10"/>
  <c r="G687" i="10"/>
  <c r="F687" i="10"/>
  <c r="G686" i="10"/>
  <c r="F686" i="10"/>
  <c r="G685" i="10"/>
  <c r="F685" i="10"/>
  <c r="G684" i="10"/>
  <c r="F684" i="10"/>
  <c r="G683" i="10"/>
  <c r="F683" i="10"/>
  <c r="G682" i="10"/>
  <c r="F682" i="10"/>
  <c r="G681" i="10"/>
  <c r="F681" i="10"/>
  <c r="G680" i="10"/>
  <c r="F680" i="10"/>
  <c r="G679" i="10"/>
  <c r="F679" i="10"/>
  <c r="G678" i="10"/>
  <c r="F678" i="10"/>
  <c r="G677" i="10"/>
  <c r="F677" i="10"/>
  <c r="G676" i="10"/>
  <c r="F676" i="10"/>
  <c r="G675" i="10"/>
  <c r="F675" i="10"/>
  <c r="G674" i="10"/>
  <c r="F674" i="10"/>
  <c r="G673" i="10"/>
  <c r="F673" i="10"/>
  <c r="G672" i="10"/>
  <c r="F672" i="10"/>
  <c r="G671" i="10"/>
  <c r="F671" i="10"/>
  <c r="G670" i="10"/>
  <c r="F670" i="10"/>
  <c r="G669" i="10"/>
  <c r="F669" i="10"/>
  <c r="G668" i="10"/>
  <c r="F668" i="10"/>
  <c r="G667" i="10"/>
  <c r="F667" i="10"/>
  <c r="G666" i="10"/>
  <c r="F666" i="10"/>
  <c r="G665" i="10"/>
  <c r="F665" i="10"/>
  <c r="G664" i="10"/>
  <c r="F664" i="10"/>
  <c r="G663" i="10"/>
  <c r="F663" i="10"/>
  <c r="G662" i="10"/>
  <c r="F662" i="10"/>
  <c r="G661" i="10"/>
  <c r="F661" i="10"/>
  <c r="G660" i="10"/>
  <c r="F660" i="10"/>
  <c r="G659" i="10"/>
  <c r="F659" i="10"/>
  <c r="G658" i="10"/>
  <c r="F658" i="10"/>
  <c r="G657" i="10"/>
  <c r="F657" i="10"/>
  <c r="G656" i="10"/>
  <c r="F656" i="10"/>
  <c r="G655" i="10"/>
  <c r="F655" i="10"/>
  <c r="G654" i="10"/>
  <c r="F654" i="10"/>
  <c r="G653" i="10"/>
  <c r="F653" i="10"/>
  <c r="G652" i="10"/>
  <c r="F652" i="10"/>
  <c r="G651" i="10"/>
  <c r="F651" i="10"/>
  <c r="G650" i="10"/>
  <c r="F650" i="10"/>
  <c r="G649" i="10"/>
  <c r="F649" i="10"/>
  <c r="G648" i="10"/>
  <c r="F648" i="10"/>
  <c r="G647" i="10"/>
  <c r="F647" i="10"/>
  <c r="G646" i="10"/>
  <c r="F646" i="10"/>
  <c r="G645" i="10"/>
  <c r="F645" i="10"/>
  <c r="G644" i="10"/>
  <c r="F644" i="10"/>
  <c r="G643" i="10"/>
  <c r="F643" i="10"/>
  <c r="G642" i="10"/>
  <c r="F642" i="10"/>
  <c r="G641" i="10"/>
  <c r="F641" i="10"/>
  <c r="G640" i="10"/>
  <c r="F640" i="10"/>
  <c r="G639" i="10"/>
  <c r="F639" i="10"/>
  <c r="G638" i="10"/>
  <c r="F638" i="10"/>
  <c r="G637" i="10"/>
  <c r="F637" i="10"/>
  <c r="G636" i="10"/>
  <c r="F636" i="10"/>
  <c r="G635" i="10"/>
  <c r="F635" i="10"/>
  <c r="G634" i="10"/>
  <c r="F634" i="10"/>
  <c r="G633" i="10"/>
  <c r="F633" i="10"/>
  <c r="G632" i="10"/>
  <c r="F632" i="10"/>
  <c r="G631" i="10"/>
  <c r="F631" i="10"/>
  <c r="G630" i="10"/>
  <c r="F630" i="10"/>
  <c r="G629" i="10"/>
  <c r="F629" i="10"/>
  <c r="G628" i="10"/>
  <c r="F628" i="10"/>
  <c r="G627" i="10"/>
  <c r="F627" i="10"/>
  <c r="G626" i="10"/>
  <c r="F626" i="10"/>
  <c r="G625" i="10"/>
  <c r="F625" i="10"/>
  <c r="G624" i="10"/>
  <c r="F624" i="10"/>
  <c r="G623" i="10"/>
  <c r="F623" i="10"/>
  <c r="G622" i="10"/>
  <c r="F622" i="10"/>
  <c r="G621" i="10"/>
  <c r="F621" i="10"/>
  <c r="G620" i="10"/>
  <c r="F620" i="10"/>
  <c r="G619" i="10"/>
  <c r="F619" i="10"/>
  <c r="G618" i="10"/>
  <c r="F618" i="10"/>
  <c r="G617" i="10"/>
  <c r="F617" i="10"/>
  <c r="G616" i="10"/>
  <c r="F616" i="10"/>
  <c r="G615" i="10"/>
  <c r="F615" i="10"/>
  <c r="G614" i="10"/>
  <c r="F614" i="10"/>
  <c r="G613" i="10"/>
  <c r="F613" i="10"/>
  <c r="G612" i="10"/>
  <c r="F612" i="10"/>
  <c r="G611" i="10"/>
  <c r="F611" i="10"/>
  <c r="G610" i="10"/>
  <c r="F610" i="10"/>
  <c r="G609" i="10"/>
  <c r="F609" i="10"/>
  <c r="G608" i="10"/>
  <c r="F608" i="10"/>
  <c r="G607" i="10"/>
  <c r="F607" i="10"/>
  <c r="G606" i="10"/>
  <c r="F606" i="10"/>
  <c r="G605" i="10"/>
  <c r="F605" i="10"/>
  <c r="G604" i="10"/>
  <c r="F604" i="10"/>
  <c r="G603" i="10"/>
  <c r="F603" i="10"/>
  <c r="G602" i="10"/>
  <c r="F602" i="10"/>
  <c r="G601" i="10"/>
  <c r="F601" i="10"/>
  <c r="G600" i="10"/>
  <c r="F600" i="10"/>
  <c r="G599" i="10"/>
  <c r="F599" i="10"/>
  <c r="G598" i="10"/>
  <c r="F598" i="10"/>
  <c r="G597" i="10"/>
  <c r="F597" i="10"/>
  <c r="G596" i="10"/>
  <c r="F596" i="10"/>
  <c r="G595" i="10"/>
  <c r="F595" i="10"/>
  <c r="G594" i="10"/>
  <c r="F594" i="10"/>
  <c r="G593" i="10"/>
  <c r="F593" i="10"/>
  <c r="G592" i="10"/>
  <c r="F592" i="10"/>
  <c r="G591" i="10"/>
  <c r="F591" i="10"/>
  <c r="G590" i="10"/>
  <c r="F590" i="10"/>
  <c r="G589" i="10"/>
  <c r="F589" i="10"/>
  <c r="G588" i="10"/>
  <c r="F588" i="10"/>
  <c r="G587" i="10"/>
  <c r="F587" i="10"/>
  <c r="G586" i="10"/>
  <c r="F586" i="10"/>
  <c r="G585" i="10"/>
  <c r="F585" i="10"/>
  <c r="G584" i="10"/>
  <c r="F584" i="10"/>
  <c r="G583" i="10"/>
  <c r="F583" i="10"/>
  <c r="G582" i="10"/>
  <c r="F582" i="10"/>
  <c r="G581" i="10"/>
  <c r="F581" i="10"/>
  <c r="G580" i="10"/>
  <c r="F580" i="10"/>
  <c r="G579" i="10"/>
  <c r="F579" i="10"/>
  <c r="G578" i="10"/>
  <c r="F578" i="10"/>
  <c r="G577" i="10"/>
  <c r="F577" i="10"/>
  <c r="G576" i="10"/>
  <c r="F576" i="10"/>
  <c r="G575" i="10"/>
  <c r="F575" i="10"/>
  <c r="G574" i="10"/>
  <c r="F574" i="10"/>
  <c r="G573" i="10"/>
  <c r="F573" i="10"/>
  <c r="G572" i="10"/>
  <c r="F572" i="10"/>
  <c r="G571" i="10"/>
  <c r="F571" i="10"/>
  <c r="G570" i="10"/>
  <c r="F570" i="10"/>
  <c r="G569" i="10"/>
  <c r="F569" i="10"/>
  <c r="G568" i="10"/>
  <c r="F568" i="10"/>
  <c r="G567" i="10"/>
  <c r="F567" i="10"/>
  <c r="G566" i="10"/>
  <c r="F566" i="10"/>
  <c r="G565" i="10"/>
  <c r="F565" i="10"/>
  <c r="G564" i="10"/>
  <c r="F564" i="10"/>
  <c r="G563" i="10"/>
  <c r="F563" i="10"/>
  <c r="G562" i="10"/>
  <c r="F562" i="10"/>
  <c r="G561" i="10"/>
  <c r="F561" i="10"/>
  <c r="G560" i="10"/>
  <c r="F560" i="10"/>
  <c r="G559" i="10"/>
  <c r="F559" i="10"/>
  <c r="G558" i="10"/>
  <c r="F558" i="10"/>
  <c r="G557" i="10"/>
  <c r="F557" i="10"/>
  <c r="G556" i="10"/>
  <c r="F556" i="10"/>
  <c r="G555" i="10"/>
  <c r="F555" i="10"/>
  <c r="G554" i="10"/>
  <c r="F554" i="10"/>
  <c r="G553" i="10"/>
  <c r="F553" i="10"/>
  <c r="G552" i="10"/>
  <c r="F552" i="10"/>
  <c r="G551" i="10"/>
  <c r="F551" i="10"/>
  <c r="G550" i="10"/>
  <c r="F550" i="10"/>
  <c r="G549" i="10"/>
  <c r="F549" i="10"/>
  <c r="G548" i="10"/>
  <c r="F548" i="10"/>
  <c r="G547" i="10"/>
  <c r="F547" i="10"/>
  <c r="G546" i="10"/>
  <c r="F546" i="10"/>
  <c r="G545" i="10"/>
  <c r="F545" i="10"/>
  <c r="G544" i="10"/>
  <c r="F544" i="10"/>
  <c r="G543" i="10"/>
  <c r="F543" i="10"/>
  <c r="G542" i="10"/>
  <c r="F542" i="10"/>
  <c r="G541" i="10"/>
  <c r="F541" i="10"/>
  <c r="G540" i="10"/>
  <c r="F540" i="10"/>
  <c r="G539" i="10"/>
  <c r="F539" i="10"/>
  <c r="G538" i="10"/>
  <c r="F538" i="10"/>
  <c r="G537" i="10"/>
  <c r="F537" i="10"/>
  <c r="G536" i="10"/>
  <c r="F536" i="10"/>
  <c r="G535" i="10"/>
  <c r="F535" i="10"/>
  <c r="G534" i="10"/>
  <c r="F534" i="10"/>
  <c r="G533" i="10"/>
  <c r="F533" i="10"/>
  <c r="G532" i="10"/>
  <c r="F532" i="10"/>
  <c r="G531" i="10"/>
  <c r="F531" i="10"/>
  <c r="G530" i="10"/>
  <c r="F530" i="10"/>
  <c r="G529" i="10"/>
  <c r="F529" i="10"/>
  <c r="G528" i="10"/>
  <c r="F528" i="10"/>
  <c r="G527" i="10"/>
  <c r="F527" i="10"/>
  <c r="G526" i="10"/>
  <c r="F526" i="10"/>
  <c r="G525" i="10"/>
  <c r="F525" i="10"/>
  <c r="G524" i="10"/>
  <c r="F524" i="10"/>
  <c r="G523" i="10"/>
  <c r="F523" i="10"/>
  <c r="G522" i="10"/>
  <c r="F522" i="10"/>
  <c r="G521" i="10"/>
  <c r="F521" i="10"/>
  <c r="G520" i="10"/>
  <c r="F520" i="10"/>
  <c r="G519" i="10"/>
  <c r="F519" i="10"/>
  <c r="G518" i="10"/>
  <c r="F518" i="10"/>
  <c r="G517" i="10"/>
  <c r="F517" i="10"/>
  <c r="G516" i="10"/>
  <c r="F516" i="10"/>
  <c r="G515" i="10"/>
  <c r="F515" i="10"/>
  <c r="G514" i="10"/>
  <c r="F514" i="10"/>
  <c r="G513" i="10"/>
  <c r="F513" i="10"/>
  <c r="G512" i="10"/>
  <c r="F512" i="10"/>
  <c r="G511" i="10"/>
  <c r="F511" i="10"/>
  <c r="G510" i="10"/>
  <c r="F510" i="10"/>
  <c r="G509" i="10"/>
  <c r="F509" i="10"/>
  <c r="G508" i="10"/>
  <c r="F508" i="10"/>
  <c r="G507" i="10"/>
  <c r="F507" i="10"/>
  <c r="G506" i="10"/>
  <c r="F506" i="10"/>
  <c r="G505" i="10"/>
  <c r="F505" i="10"/>
  <c r="G504" i="10"/>
  <c r="F504" i="10"/>
  <c r="G503" i="10"/>
  <c r="F503" i="10"/>
  <c r="G502" i="10"/>
  <c r="F502" i="10"/>
  <c r="G501" i="10"/>
  <c r="F501" i="10"/>
  <c r="G500" i="10"/>
  <c r="F500" i="10"/>
  <c r="G499" i="10"/>
  <c r="F499" i="10"/>
  <c r="G498" i="10"/>
  <c r="F498" i="10"/>
  <c r="G497" i="10"/>
  <c r="F497" i="10"/>
  <c r="G496" i="10"/>
  <c r="F496" i="10"/>
  <c r="G495" i="10"/>
  <c r="F495" i="10"/>
  <c r="G494" i="10"/>
  <c r="F494" i="10"/>
  <c r="G493" i="10"/>
  <c r="F493" i="10"/>
  <c r="G492" i="10"/>
  <c r="F492" i="10"/>
  <c r="G491" i="10"/>
  <c r="F491" i="10"/>
  <c r="G490" i="10"/>
  <c r="F490" i="10"/>
  <c r="G489" i="10"/>
  <c r="F489" i="10"/>
  <c r="G488" i="10"/>
  <c r="F488" i="10"/>
  <c r="G487" i="10"/>
  <c r="F487" i="10"/>
  <c r="G486" i="10"/>
  <c r="F486" i="10"/>
  <c r="G485" i="10"/>
  <c r="F485" i="10"/>
  <c r="G484" i="10"/>
  <c r="F484" i="10"/>
  <c r="G483" i="10"/>
  <c r="F483" i="10"/>
  <c r="G482" i="10"/>
  <c r="F482" i="10"/>
  <c r="G481" i="10"/>
  <c r="F481" i="10"/>
  <c r="G480" i="10"/>
  <c r="F480" i="10"/>
  <c r="G479" i="10"/>
  <c r="F479" i="10"/>
  <c r="G478" i="10"/>
  <c r="F478" i="10"/>
  <c r="G477" i="10"/>
  <c r="F477" i="10"/>
  <c r="G476" i="10"/>
  <c r="F476" i="10"/>
  <c r="G475" i="10"/>
  <c r="F475" i="10"/>
  <c r="G474" i="10"/>
  <c r="F474" i="10"/>
  <c r="G473" i="10"/>
  <c r="F473" i="10"/>
  <c r="G472" i="10"/>
  <c r="F472" i="10"/>
  <c r="G471" i="10"/>
  <c r="F471" i="10"/>
  <c r="G470" i="10"/>
  <c r="F470" i="10"/>
  <c r="G469" i="10"/>
  <c r="F469" i="10"/>
  <c r="G468" i="10"/>
  <c r="F468" i="10"/>
  <c r="G467" i="10"/>
  <c r="F467" i="10"/>
  <c r="G466" i="10"/>
  <c r="F466" i="10"/>
  <c r="G465" i="10"/>
  <c r="F465" i="10"/>
  <c r="G464" i="10"/>
  <c r="F464" i="10"/>
  <c r="G463" i="10"/>
  <c r="F463" i="10"/>
  <c r="G462" i="10"/>
  <c r="F462" i="10"/>
  <c r="G461" i="10"/>
  <c r="F461" i="10"/>
  <c r="G460" i="10"/>
  <c r="F460" i="10"/>
  <c r="G459" i="10"/>
  <c r="F459" i="10"/>
  <c r="G458" i="10"/>
  <c r="F458" i="10"/>
  <c r="G457" i="10"/>
  <c r="F457" i="10"/>
  <c r="G456" i="10"/>
  <c r="F456" i="10"/>
  <c r="G455" i="10"/>
  <c r="F455" i="10"/>
  <c r="G454" i="10"/>
  <c r="F454" i="10"/>
  <c r="G453" i="10"/>
  <c r="F453" i="10"/>
  <c r="G452" i="10"/>
  <c r="F452" i="10"/>
  <c r="G451" i="10"/>
  <c r="F451" i="10"/>
  <c r="G450" i="10"/>
  <c r="F450" i="10"/>
  <c r="G449" i="10"/>
  <c r="F449" i="10"/>
  <c r="G448" i="10"/>
  <c r="F448" i="10"/>
  <c r="G447" i="10"/>
  <c r="F447" i="10"/>
  <c r="G446" i="10"/>
  <c r="F446" i="10"/>
  <c r="G445" i="10"/>
  <c r="F445" i="10"/>
  <c r="G444" i="10"/>
  <c r="F444" i="10"/>
  <c r="G443" i="10"/>
  <c r="F443" i="10"/>
  <c r="G442" i="10"/>
  <c r="F442" i="10"/>
  <c r="G441" i="10"/>
  <c r="F441" i="10"/>
  <c r="G440" i="10"/>
  <c r="F440" i="10"/>
  <c r="G439" i="10"/>
  <c r="F439" i="10"/>
  <c r="G438" i="10"/>
  <c r="F438" i="10"/>
  <c r="G437" i="10"/>
  <c r="F437" i="10"/>
  <c r="G436" i="10"/>
  <c r="F436" i="10"/>
  <c r="G435" i="10"/>
  <c r="F435" i="10"/>
  <c r="G434" i="10"/>
  <c r="F434" i="10"/>
  <c r="G433" i="10"/>
  <c r="F433" i="10"/>
  <c r="G432" i="10"/>
  <c r="F432" i="10"/>
  <c r="G431" i="10"/>
  <c r="F431" i="10"/>
  <c r="G430" i="10"/>
  <c r="F430" i="10"/>
  <c r="G429" i="10"/>
  <c r="F429" i="10"/>
  <c r="G428" i="10"/>
  <c r="F428" i="10"/>
  <c r="G427" i="10"/>
  <c r="F427" i="10"/>
  <c r="G426" i="10"/>
  <c r="F426" i="10"/>
  <c r="G425" i="10"/>
  <c r="F425" i="10"/>
  <c r="G424" i="10"/>
  <c r="F424" i="10"/>
  <c r="G423" i="10"/>
  <c r="F423" i="10"/>
  <c r="G422" i="10"/>
  <c r="F422" i="10"/>
  <c r="G421" i="10"/>
  <c r="F421" i="10"/>
  <c r="G420" i="10"/>
  <c r="F420" i="10"/>
  <c r="G419" i="10"/>
  <c r="F419" i="10"/>
  <c r="G418" i="10"/>
  <c r="F418" i="10"/>
  <c r="G417" i="10"/>
  <c r="F417" i="10"/>
  <c r="G416" i="10"/>
  <c r="F416" i="10"/>
  <c r="G415" i="10"/>
  <c r="F415" i="10"/>
  <c r="G414" i="10"/>
  <c r="F414" i="10"/>
  <c r="G413" i="10"/>
  <c r="F413" i="10"/>
  <c r="G412" i="10"/>
  <c r="F412" i="10"/>
  <c r="G411" i="10"/>
  <c r="F411" i="10"/>
  <c r="G410" i="10"/>
  <c r="F410" i="10"/>
  <c r="G409" i="10"/>
  <c r="F409" i="10"/>
  <c r="G408" i="10"/>
  <c r="F408" i="10"/>
  <c r="G407" i="10"/>
  <c r="F407" i="10"/>
  <c r="G406" i="10"/>
  <c r="F406" i="10"/>
  <c r="G405" i="10"/>
  <c r="F405" i="10"/>
  <c r="G404" i="10"/>
  <c r="F404" i="10"/>
  <c r="G403" i="10"/>
  <c r="F403" i="10"/>
  <c r="G402" i="10"/>
  <c r="F402" i="10"/>
  <c r="G401" i="10"/>
  <c r="F401" i="10"/>
  <c r="G400" i="10"/>
  <c r="F400" i="10"/>
  <c r="G399" i="10"/>
  <c r="F399" i="10"/>
  <c r="G398" i="10"/>
  <c r="F398" i="10"/>
  <c r="G397" i="10"/>
  <c r="F397" i="10"/>
  <c r="G396" i="10"/>
  <c r="F396" i="10"/>
  <c r="G395" i="10"/>
  <c r="F395" i="10"/>
  <c r="G394" i="10"/>
  <c r="F394" i="10"/>
  <c r="G393" i="10"/>
  <c r="F393" i="10"/>
  <c r="G392" i="10"/>
  <c r="F392" i="10"/>
  <c r="G391" i="10"/>
  <c r="F391" i="10"/>
  <c r="G390" i="10"/>
  <c r="F390" i="10"/>
  <c r="G389" i="10"/>
  <c r="F389" i="10"/>
  <c r="G388" i="10"/>
  <c r="F388" i="10"/>
  <c r="G387" i="10"/>
  <c r="F387" i="10"/>
  <c r="G386" i="10"/>
  <c r="F386" i="10"/>
  <c r="G385" i="10"/>
  <c r="F385" i="10"/>
  <c r="G384" i="10"/>
  <c r="F384" i="10"/>
  <c r="G383" i="10"/>
  <c r="F383" i="10"/>
  <c r="G382" i="10"/>
  <c r="F382" i="10"/>
  <c r="G381" i="10"/>
  <c r="F381" i="10"/>
  <c r="G380" i="10"/>
  <c r="F380" i="10"/>
  <c r="G379" i="10"/>
  <c r="F379" i="10"/>
  <c r="G378" i="10"/>
  <c r="F378" i="10"/>
  <c r="G377" i="10"/>
  <c r="F377" i="10"/>
  <c r="G376" i="10"/>
  <c r="F376" i="10"/>
  <c r="G375" i="10"/>
  <c r="F375" i="10"/>
  <c r="G374" i="10"/>
  <c r="F374" i="10"/>
  <c r="G373" i="10"/>
  <c r="F373" i="10"/>
  <c r="G372" i="10"/>
  <c r="F372" i="10"/>
  <c r="G371" i="10"/>
  <c r="F371" i="10"/>
  <c r="G370" i="10"/>
  <c r="F370" i="10"/>
  <c r="G369" i="10"/>
  <c r="F369" i="10"/>
  <c r="G368" i="10"/>
  <c r="F368" i="10"/>
  <c r="G367" i="10"/>
  <c r="F367" i="10"/>
  <c r="G366" i="10"/>
  <c r="F366" i="10"/>
  <c r="G365" i="10"/>
  <c r="F365" i="10"/>
  <c r="G364" i="10"/>
  <c r="F364" i="10"/>
  <c r="G363" i="10"/>
  <c r="F363" i="10"/>
  <c r="G362" i="10"/>
  <c r="F362" i="10"/>
  <c r="G361" i="10"/>
  <c r="F361" i="10"/>
  <c r="G360" i="10"/>
  <c r="F360" i="10"/>
  <c r="G359" i="10"/>
  <c r="F359" i="10"/>
  <c r="G358" i="10"/>
  <c r="F358" i="10"/>
  <c r="G357" i="10"/>
  <c r="F357" i="10"/>
  <c r="G356" i="10"/>
  <c r="F356" i="10"/>
  <c r="G355" i="10"/>
  <c r="F355" i="10"/>
  <c r="G354" i="10"/>
  <c r="F354" i="10"/>
  <c r="G353" i="10"/>
  <c r="F353" i="10"/>
  <c r="G352" i="10"/>
  <c r="F352" i="10"/>
  <c r="G351" i="10"/>
  <c r="F351" i="10"/>
  <c r="G350" i="10"/>
  <c r="F350" i="10"/>
  <c r="G349" i="10"/>
  <c r="F349" i="10"/>
  <c r="G348" i="10"/>
  <c r="F348" i="10"/>
  <c r="G347" i="10"/>
  <c r="F347" i="10"/>
  <c r="G346" i="10"/>
  <c r="F346" i="10"/>
  <c r="G345" i="10"/>
  <c r="F345" i="10"/>
  <c r="G344" i="10"/>
  <c r="F344" i="10"/>
  <c r="G343" i="10"/>
  <c r="F343" i="10"/>
  <c r="G342" i="10"/>
  <c r="F342" i="10"/>
  <c r="G341" i="10"/>
  <c r="F341" i="10"/>
  <c r="G340" i="10"/>
  <c r="F340" i="10"/>
  <c r="G339" i="10"/>
  <c r="F339" i="10"/>
  <c r="G338" i="10"/>
  <c r="F338" i="10"/>
  <c r="G337" i="10"/>
  <c r="F337" i="10"/>
  <c r="G336" i="10"/>
  <c r="F336" i="10"/>
  <c r="G335" i="10"/>
  <c r="F335" i="10"/>
  <c r="G334" i="10"/>
  <c r="F334" i="10"/>
  <c r="G333" i="10"/>
  <c r="F333" i="10"/>
  <c r="G332" i="10"/>
  <c r="F332" i="10"/>
  <c r="G331" i="10"/>
  <c r="F331" i="10"/>
  <c r="G330" i="10"/>
  <c r="F330" i="10"/>
  <c r="G329" i="10"/>
  <c r="F329" i="10"/>
  <c r="G328" i="10"/>
  <c r="F328" i="10"/>
  <c r="G327" i="10"/>
  <c r="F327" i="10"/>
  <c r="G326" i="10"/>
  <c r="F326" i="10"/>
  <c r="G325" i="10"/>
  <c r="F325" i="10"/>
  <c r="G324" i="10"/>
  <c r="F324" i="10"/>
  <c r="G323" i="10"/>
  <c r="F323" i="10"/>
  <c r="G322" i="10"/>
  <c r="F322" i="10"/>
  <c r="G321" i="10"/>
  <c r="F321" i="10"/>
  <c r="G320" i="10"/>
  <c r="F320" i="10"/>
  <c r="G319" i="10"/>
  <c r="F319" i="10"/>
  <c r="G318" i="10"/>
  <c r="F318" i="10"/>
  <c r="G317" i="10"/>
  <c r="F317" i="10"/>
  <c r="G316" i="10"/>
  <c r="F316" i="10"/>
  <c r="G315" i="10"/>
  <c r="F315" i="10"/>
  <c r="G314" i="10"/>
  <c r="F314" i="10"/>
  <c r="G313" i="10"/>
  <c r="F313" i="10"/>
  <c r="G312" i="10"/>
  <c r="F312" i="10"/>
  <c r="G311" i="10"/>
  <c r="F311" i="10"/>
  <c r="G310" i="10"/>
  <c r="F310" i="10"/>
  <c r="G309" i="10"/>
  <c r="F309" i="10"/>
  <c r="G308" i="10"/>
  <c r="F308" i="10"/>
  <c r="G307" i="10"/>
  <c r="F307" i="10"/>
  <c r="G306" i="10"/>
  <c r="F306" i="10"/>
  <c r="G305" i="10"/>
  <c r="F305" i="10"/>
  <c r="G304" i="10"/>
  <c r="F304" i="10"/>
  <c r="G303" i="10"/>
  <c r="F303" i="10"/>
  <c r="G302" i="10"/>
  <c r="F302" i="10"/>
  <c r="G301" i="10"/>
  <c r="F301" i="10"/>
  <c r="G300" i="10"/>
  <c r="F300" i="10"/>
  <c r="G299" i="10"/>
  <c r="F299" i="10"/>
  <c r="G298" i="10"/>
  <c r="F298" i="10"/>
  <c r="G297" i="10"/>
  <c r="F297" i="10"/>
  <c r="G296" i="10"/>
  <c r="F296" i="10"/>
  <c r="G295" i="10"/>
  <c r="F295" i="10"/>
  <c r="G294" i="10"/>
  <c r="F294" i="10"/>
  <c r="G293" i="10"/>
  <c r="F293" i="10"/>
  <c r="G292" i="10"/>
  <c r="F292" i="10"/>
  <c r="G291" i="10"/>
  <c r="F291" i="10"/>
  <c r="G290" i="10"/>
  <c r="F290" i="10"/>
  <c r="G289" i="10"/>
  <c r="F289" i="10"/>
  <c r="G288" i="10"/>
  <c r="F288" i="10"/>
  <c r="G287" i="10"/>
  <c r="F287" i="10"/>
  <c r="G286" i="10"/>
  <c r="F286" i="10"/>
  <c r="G285" i="10"/>
  <c r="F285" i="10"/>
  <c r="G284" i="10"/>
  <c r="F284" i="10"/>
  <c r="G283" i="10"/>
  <c r="F283" i="10"/>
  <c r="G282" i="10"/>
  <c r="F282" i="10"/>
  <c r="G281" i="10"/>
  <c r="F281" i="10"/>
  <c r="G280" i="10"/>
  <c r="F280" i="10"/>
  <c r="G279" i="10"/>
  <c r="F279" i="10"/>
  <c r="G278" i="10"/>
  <c r="F278" i="10"/>
  <c r="G277" i="10"/>
  <c r="F277" i="10"/>
  <c r="G276" i="10"/>
  <c r="F276" i="10"/>
  <c r="G275" i="10"/>
  <c r="F275" i="10"/>
  <c r="G274" i="10"/>
  <c r="F274" i="10"/>
  <c r="G273" i="10"/>
  <c r="F273" i="10"/>
  <c r="G272" i="10"/>
  <c r="F272" i="10"/>
  <c r="G271" i="10"/>
  <c r="F271" i="10"/>
  <c r="G270" i="10"/>
  <c r="F270" i="10"/>
  <c r="G269" i="10"/>
  <c r="F269" i="10"/>
  <c r="G268" i="10"/>
  <c r="F268" i="10"/>
  <c r="G267" i="10"/>
  <c r="F267" i="10"/>
  <c r="G266" i="10"/>
  <c r="F266" i="10"/>
  <c r="G265" i="10"/>
  <c r="F265" i="10"/>
  <c r="G264" i="10"/>
  <c r="F264" i="10"/>
  <c r="G263" i="10"/>
  <c r="F263" i="10"/>
  <c r="G262" i="10"/>
  <c r="F262" i="10"/>
  <c r="G261" i="10"/>
  <c r="F261" i="10"/>
  <c r="G260" i="10"/>
  <c r="F260" i="10"/>
  <c r="G259" i="10"/>
  <c r="F259" i="10"/>
  <c r="G258" i="10"/>
  <c r="F258" i="10"/>
  <c r="G257" i="10"/>
  <c r="F257" i="10"/>
  <c r="G256" i="10"/>
  <c r="F256" i="10"/>
  <c r="G255" i="10"/>
  <c r="F255" i="10"/>
  <c r="G254" i="10"/>
  <c r="F254" i="10"/>
  <c r="G253" i="10"/>
  <c r="F253" i="10"/>
  <c r="G252" i="10"/>
  <c r="F252" i="10"/>
  <c r="G251" i="10"/>
  <c r="F251" i="10"/>
  <c r="G250" i="10"/>
  <c r="F250" i="10"/>
  <c r="G249" i="10"/>
  <c r="F249" i="10"/>
  <c r="G248" i="10"/>
  <c r="F248" i="10"/>
  <c r="G247" i="10"/>
  <c r="F247" i="10"/>
  <c r="G246" i="10"/>
  <c r="F246" i="10"/>
  <c r="G245" i="10"/>
  <c r="F245" i="10"/>
  <c r="G244" i="10"/>
  <c r="F244" i="10"/>
  <c r="G243" i="10"/>
  <c r="F243" i="10"/>
  <c r="G242" i="10"/>
  <c r="F242" i="10"/>
  <c r="G241" i="10"/>
  <c r="F241" i="10"/>
  <c r="G240" i="10"/>
  <c r="F240" i="10"/>
  <c r="G239" i="10"/>
  <c r="F239" i="10"/>
  <c r="G238" i="10"/>
  <c r="F238" i="10"/>
  <c r="G237" i="10"/>
  <c r="F237" i="10"/>
  <c r="G236" i="10"/>
  <c r="F236" i="10"/>
  <c r="G235" i="10"/>
  <c r="F235" i="10"/>
  <c r="G234" i="10"/>
  <c r="F234" i="10"/>
  <c r="G233" i="10"/>
  <c r="F233" i="10"/>
  <c r="G232" i="10"/>
  <c r="F232" i="10"/>
  <c r="G231" i="10"/>
  <c r="F231" i="10"/>
  <c r="G230" i="10"/>
  <c r="F230" i="10"/>
  <c r="G229" i="10"/>
  <c r="F229" i="10"/>
  <c r="G228" i="10"/>
  <c r="F228" i="10"/>
  <c r="G227" i="10"/>
  <c r="F227" i="10"/>
  <c r="G226" i="10"/>
  <c r="F226" i="10"/>
  <c r="G225" i="10"/>
  <c r="F225" i="10"/>
  <c r="G224" i="10"/>
  <c r="F224" i="10"/>
  <c r="G223" i="10"/>
  <c r="F223" i="10"/>
  <c r="G222" i="10"/>
  <c r="F222" i="10"/>
  <c r="G221" i="10"/>
  <c r="F221" i="10"/>
  <c r="G220" i="10"/>
  <c r="F220" i="10"/>
  <c r="G219" i="10"/>
  <c r="F219" i="10"/>
  <c r="G218" i="10"/>
  <c r="F218" i="10"/>
  <c r="G217" i="10"/>
  <c r="F217" i="10"/>
  <c r="G216" i="10"/>
  <c r="F216" i="10"/>
  <c r="G215" i="10"/>
  <c r="F215" i="10"/>
  <c r="G214" i="10"/>
  <c r="F214" i="10"/>
  <c r="G213" i="10"/>
  <c r="F213" i="10"/>
  <c r="G212" i="10"/>
  <c r="F212" i="10"/>
  <c r="G211" i="10"/>
  <c r="F211" i="10"/>
  <c r="G210" i="10"/>
  <c r="F210" i="10"/>
  <c r="G209" i="10"/>
  <c r="F209" i="10"/>
  <c r="G208" i="10"/>
  <c r="F208" i="10"/>
  <c r="G207" i="10"/>
  <c r="F207" i="10"/>
  <c r="G206" i="10"/>
  <c r="F206" i="10"/>
  <c r="G205" i="10"/>
  <c r="F205" i="10"/>
  <c r="G204" i="10"/>
  <c r="F204" i="10"/>
  <c r="G203" i="10"/>
  <c r="F203" i="10"/>
  <c r="G202" i="10"/>
  <c r="F202" i="10"/>
  <c r="G201" i="10"/>
  <c r="F201" i="10"/>
  <c r="G200" i="10"/>
  <c r="F200" i="10"/>
  <c r="G199" i="10"/>
  <c r="F199" i="10"/>
  <c r="G198" i="10"/>
  <c r="F198" i="10"/>
  <c r="G197" i="10"/>
  <c r="F197" i="10"/>
  <c r="G196" i="10"/>
  <c r="F196" i="10"/>
  <c r="G195" i="10"/>
  <c r="F195" i="10"/>
  <c r="G194" i="10"/>
  <c r="F194" i="10"/>
  <c r="G193" i="10"/>
  <c r="F193" i="10"/>
  <c r="G192" i="10"/>
  <c r="F192" i="10"/>
  <c r="G191" i="10"/>
  <c r="F191" i="10"/>
  <c r="G190" i="10"/>
  <c r="F190" i="10"/>
  <c r="G189" i="10"/>
  <c r="F189" i="10"/>
  <c r="G188" i="10"/>
  <c r="F188" i="10"/>
  <c r="G187" i="10"/>
  <c r="F187" i="10"/>
  <c r="G186" i="10"/>
  <c r="F186" i="10"/>
  <c r="G185" i="10"/>
  <c r="F185" i="10"/>
  <c r="G184" i="10"/>
  <c r="F184" i="10"/>
  <c r="G183" i="10"/>
  <c r="F183" i="10"/>
  <c r="G182" i="10"/>
  <c r="F182" i="10"/>
  <c r="G181" i="10"/>
  <c r="F181" i="10"/>
  <c r="G180" i="10"/>
  <c r="F180" i="10"/>
  <c r="G179" i="10"/>
  <c r="F179" i="10"/>
  <c r="G178" i="10"/>
  <c r="F178" i="10"/>
  <c r="G177" i="10"/>
  <c r="F177" i="10"/>
  <c r="G176" i="10"/>
  <c r="F176" i="10"/>
  <c r="G175" i="10"/>
  <c r="F175" i="10"/>
  <c r="G174" i="10"/>
  <c r="F174" i="10"/>
  <c r="G173" i="10"/>
  <c r="F173" i="10"/>
  <c r="G172" i="10"/>
  <c r="F172" i="10"/>
  <c r="G171" i="10"/>
  <c r="F171" i="10"/>
  <c r="G170" i="10"/>
  <c r="F170" i="10"/>
  <c r="G169" i="10"/>
  <c r="F169" i="10"/>
  <c r="G168" i="10"/>
  <c r="F168" i="10"/>
  <c r="G167" i="10"/>
  <c r="F167" i="10"/>
  <c r="G166" i="10"/>
  <c r="F166" i="10"/>
  <c r="G165" i="10"/>
  <c r="F165" i="10"/>
  <c r="G164" i="10"/>
  <c r="F164" i="10"/>
  <c r="G163" i="10"/>
  <c r="F163" i="10"/>
  <c r="G162" i="10"/>
  <c r="F162" i="10"/>
  <c r="G161" i="10"/>
  <c r="F161" i="10"/>
  <c r="G160" i="10"/>
  <c r="F160" i="10"/>
  <c r="G159" i="10"/>
  <c r="F159" i="10"/>
  <c r="G158" i="10"/>
  <c r="F158" i="10"/>
  <c r="G157" i="10"/>
  <c r="F157" i="10"/>
  <c r="G156" i="10"/>
  <c r="F156" i="10"/>
  <c r="G155" i="10"/>
  <c r="F155" i="10"/>
  <c r="G154" i="10"/>
  <c r="F154" i="10"/>
  <c r="G153" i="10"/>
  <c r="F153" i="10"/>
  <c r="G152" i="10"/>
  <c r="F152" i="10"/>
  <c r="G151" i="10"/>
  <c r="F151" i="10"/>
  <c r="G150" i="10"/>
  <c r="F150" i="10"/>
  <c r="G149" i="10"/>
  <c r="F149" i="10"/>
  <c r="G148" i="10"/>
  <c r="F148" i="10"/>
  <c r="G147" i="10"/>
  <c r="F147" i="10"/>
  <c r="G146" i="10"/>
  <c r="F146" i="10"/>
  <c r="G145" i="10"/>
  <c r="F145" i="10"/>
  <c r="G144" i="10"/>
  <c r="F144" i="10"/>
  <c r="G143" i="10"/>
  <c r="F143" i="10"/>
  <c r="G142" i="10"/>
  <c r="F142" i="10"/>
  <c r="G141" i="10"/>
  <c r="F141" i="10"/>
  <c r="G140" i="10"/>
  <c r="F140" i="10"/>
  <c r="G139" i="10"/>
  <c r="F139" i="10"/>
  <c r="G138" i="10"/>
  <c r="F138" i="10"/>
  <c r="G137" i="10"/>
  <c r="F137" i="10"/>
  <c r="G136" i="10"/>
  <c r="F136" i="10"/>
  <c r="G135" i="10"/>
  <c r="F135" i="10"/>
  <c r="G134" i="10"/>
  <c r="F134" i="10"/>
  <c r="G133" i="10"/>
  <c r="F133" i="10"/>
  <c r="G132" i="10"/>
  <c r="F132" i="10"/>
  <c r="G131" i="10"/>
  <c r="F131" i="10"/>
  <c r="G130" i="10"/>
  <c r="F130" i="10"/>
  <c r="G129" i="10"/>
  <c r="F129" i="10"/>
  <c r="G128" i="10"/>
  <c r="F128" i="10"/>
  <c r="G127" i="10"/>
  <c r="F127" i="10"/>
  <c r="G126" i="10"/>
  <c r="F126" i="10"/>
  <c r="G125" i="10"/>
  <c r="F125" i="10"/>
  <c r="G124" i="10"/>
  <c r="F124" i="10"/>
  <c r="G123" i="10"/>
  <c r="F123" i="10"/>
  <c r="G122" i="10"/>
  <c r="F122" i="10"/>
  <c r="G121" i="10"/>
  <c r="F121" i="10"/>
  <c r="G120" i="10"/>
  <c r="F120" i="10"/>
  <c r="G119" i="10"/>
  <c r="F119" i="10"/>
  <c r="G118" i="10"/>
  <c r="F118" i="10"/>
  <c r="G117" i="10"/>
  <c r="F117" i="10"/>
  <c r="G116" i="10"/>
  <c r="F116" i="10"/>
  <c r="G115" i="10"/>
  <c r="F115" i="10"/>
  <c r="G114" i="10"/>
  <c r="F114" i="10"/>
  <c r="G113" i="10"/>
  <c r="F113" i="10"/>
  <c r="G112" i="10"/>
  <c r="F112" i="10"/>
  <c r="G111" i="10"/>
  <c r="F111" i="10"/>
  <c r="G110" i="10"/>
  <c r="F110" i="10"/>
  <c r="G109" i="10"/>
  <c r="F109" i="10"/>
  <c r="G108" i="10"/>
  <c r="F108" i="10"/>
  <c r="G107" i="10"/>
  <c r="F107" i="10"/>
  <c r="G106" i="10"/>
  <c r="F106" i="10"/>
  <c r="G105" i="10"/>
  <c r="F105" i="10"/>
  <c r="G104" i="10"/>
  <c r="F104" i="10"/>
  <c r="G103" i="10"/>
  <c r="F103" i="10"/>
  <c r="G102" i="10"/>
  <c r="F102" i="10"/>
  <c r="G101" i="10"/>
  <c r="F101" i="10"/>
  <c r="G100" i="10"/>
  <c r="F100" i="10"/>
  <c r="G99" i="10"/>
  <c r="F99" i="10"/>
  <c r="G98" i="10"/>
  <c r="F98" i="10"/>
  <c r="G97" i="10"/>
  <c r="F97" i="10"/>
  <c r="G96" i="10"/>
  <c r="F96" i="10"/>
  <c r="G95" i="10"/>
  <c r="F95" i="10"/>
  <c r="G94" i="10"/>
  <c r="F94" i="10"/>
  <c r="G93" i="10"/>
  <c r="F93" i="10"/>
  <c r="G92" i="10"/>
  <c r="F92" i="10"/>
  <c r="G91" i="10"/>
  <c r="F91" i="10"/>
  <c r="G90" i="10"/>
  <c r="F90" i="10"/>
  <c r="G89" i="10"/>
  <c r="F89" i="10"/>
  <c r="G88" i="10"/>
  <c r="F88" i="10"/>
  <c r="G87" i="10"/>
  <c r="F87" i="10"/>
  <c r="G86" i="10"/>
  <c r="F86" i="10"/>
  <c r="G85" i="10"/>
  <c r="F85" i="10"/>
  <c r="G84" i="10"/>
  <c r="F84" i="10"/>
  <c r="G83" i="10"/>
  <c r="F83" i="10"/>
  <c r="G82" i="10"/>
  <c r="F82" i="10"/>
  <c r="G81" i="10"/>
  <c r="F81" i="10"/>
  <c r="G80" i="10"/>
  <c r="F80" i="10"/>
  <c r="G79" i="10"/>
  <c r="F79" i="10"/>
  <c r="G78" i="10"/>
  <c r="F78" i="10"/>
  <c r="G77" i="10"/>
  <c r="F77" i="10"/>
  <c r="G76" i="10"/>
  <c r="F76" i="10"/>
  <c r="G75" i="10"/>
  <c r="F75" i="10"/>
  <c r="G74" i="10"/>
  <c r="F74" i="10"/>
  <c r="G73" i="10"/>
  <c r="F73" i="10"/>
  <c r="G72" i="10"/>
  <c r="F72" i="10"/>
  <c r="G71" i="10"/>
  <c r="F71" i="10"/>
  <c r="G70" i="10"/>
  <c r="F70" i="10"/>
  <c r="G69" i="10"/>
  <c r="F69" i="10"/>
  <c r="G68" i="10"/>
  <c r="F68" i="10"/>
  <c r="G67" i="10"/>
  <c r="F67" i="10"/>
  <c r="G66" i="10"/>
  <c r="F66" i="10"/>
  <c r="G65" i="10"/>
  <c r="F65" i="10"/>
  <c r="G64" i="10"/>
  <c r="F64" i="10"/>
  <c r="G63" i="10"/>
  <c r="F63" i="10"/>
  <c r="G62" i="10"/>
  <c r="F62" i="10"/>
  <c r="G61" i="10"/>
  <c r="F61" i="10"/>
  <c r="G60" i="10"/>
  <c r="F60" i="10"/>
  <c r="G59" i="10"/>
  <c r="F59" i="10"/>
  <c r="G58" i="10"/>
  <c r="F58" i="10"/>
  <c r="G57" i="10"/>
  <c r="F57" i="10"/>
  <c r="G56" i="10"/>
  <c r="F56" i="10"/>
  <c r="G55" i="10"/>
  <c r="F55" i="10"/>
  <c r="G54" i="10"/>
  <c r="F54" i="10"/>
  <c r="G53" i="10"/>
  <c r="F53" i="10"/>
  <c r="G52" i="10"/>
  <c r="F52" i="10"/>
  <c r="G51" i="10"/>
  <c r="F51" i="10"/>
  <c r="G50" i="10"/>
  <c r="F50" i="10"/>
  <c r="G49" i="10"/>
  <c r="F49" i="10"/>
  <c r="G48" i="10"/>
  <c r="F48" i="10"/>
  <c r="G47" i="10"/>
  <c r="F47" i="10"/>
  <c r="G46" i="10"/>
  <c r="F46" i="10"/>
  <c r="G45" i="10"/>
  <c r="F45" i="10"/>
  <c r="G44" i="10"/>
  <c r="F44" i="10"/>
  <c r="G43" i="10"/>
  <c r="F43" i="10"/>
  <c r="G42" i="10"/>
  <c r="F42" i="10"/>
  <c r="G41" i="10"/>
  <c r="F41" i="10"/>
  <c r="G40" i="10"/>
  <c r="F40" i="10"/>
  <c r="G39" i="10"/>
  <c r="F39" i="10"/>
  <c r="G38" i="10"/>
  <c r="F38" i="10"/>
  <c r="G37" i="10"/>
  <c r="F37" i="10"/>
  <c r="G36" i="10"/>
  <c r="F36" i="10"/>
  <c r="G35" i="10"/>
  <c r="F35" i="10"/>
  <c r="G34" i="10"/>
  <c r="F34" i="10"/>
  <c r="G33" i="10"/>
  <c r="F33" i="10"/>
  <c r="G32" i="10"/>
  <c r="F32" i="10"/>
  <c r="G31" i="10"/>
  <c r="F31" i="10"/>
  <c r="G30" i="10"/>
  <c r="F30" i="10"/>
  <c r="G29" i="10"/>
  <c r="F29" i="10"/>
  <c r="G28" i="10"/>
  <c r="F28" i="10"/>
  <c r="G27" i="10"/>
  <c r="F27" i="10"/>
  <c r="G26" i="10"/>
  <c r="F26" i="10"/>
  <c r="G25" i="10"/>
  <c r="F25" i="10"/>
  <c r="G24" i="10"/>
  <c r="F24" i="10"/>
  <c r="G23" i="10"/>
  <c r="F23" i="10"/>
  <c r="G22" i="10"/>
  <c r="F22" i="10"/>
  <c r="G21" i="10"/>
  <c r="F21" i="10"/>
  <c r="G20" i="10"/>
  <c r="F20" i="10"/>
  <c r="G19" i="10"/>
  <c r="F19" i="10"/>
  <c r="G18" i="10"/>
  <c r="F18" i="10"/>
  <c r="G17" i="10"/>
  <c r="F17" i="10"/>
  <c r="G16" i="10"/>
  <c r="F16" i="10"/>
  <c r="G15" i="10"/>
  <c r="F15" i="10"/>
  <c r="G14" i="10"/>
  <c r="F14" i="10"/>
  <c r="G13" i="10"/>
  <c r="F13" i="10"/>
  <c r="G12" i="10"/>
  <c r="F12" i="10"/>
  <c r="G11" i="10"/>
  <c r="F11" i="10"/>
  <c r="G10" i="10"/>
  <c r="F10" i="10"/>
  <c r="G9" i="10"/>
  <c r="F9" i="10"/>
  <c r="G8" i="10"/>
  <c r="F8" i="10"/>
  <c r="F7" i="10"/>
  <c r="G7" i="10"/>
  <c r="E705" i="10"/>
  <c r="E704" i="10"/>
  <c r="E703" i="10"/>
  <c r="E702" i="10"/>
  <c r="E701" i="10"/>
  <c r="E700" i="10"/>
  <c r="E699" i="10"/>
  <c r="E698" i="10"/>
  <c r="E697" i="10"/>
  <c r="E696" i="10"/>
  <c r="E695" i="10"/>
  <c r="E694" i="10"/>
  <c r="E693" i="10"/>
  <c r="E692" i="10"/>
  <c r="E691" i="10"/>
  <c r="E690" i="10"/>
  <c r="E689" i="10"/>
  <c r="E688" i="10"/>
  <c r="E687" i="10"/>
  <c r="E686" i="10"/>
  <c r="E685" i="10"/>
  <c r="E684" i="10"/>
  <c r="E683" i="10"/>
  <c r="E682" i="10"/>
  <c r="E681" i="10"/>
  <c r="E680" i="10"/>
  <c r="E679" i="10"/>
  <c r="E678" i="10"/>
  <c r="E677" i="10"/>
  <c r="E676" i="10"/>
  <c r="E675" i="10"/>
  <c r="E674" i="10"/>
  <c r="E673" i="10"/>
  <c r="E672" i="10"/>
  <c r="E671" i="10"/>
  <c r="E670" i="10"/>
  <c r="E669" i="10"/>
  <c r="E668" i="10"/>
  <c r="E667" i="10"/>
  <c r="E666" i="10"/>
  <c r="E665" i="10"/>
  <c r="E664" i="10"/>
  <c r="E663" i="10"/>
  <c r="E662" i="10"/>
  <c r="E661" i="10"/>
  <c r="E660" i="10"/>
  <c r="E659" i="10"/>
  <c r="E658" i="10"/>
  <c r="E657" i="10"/>
  <c r="E656" i="10"/>
  <c r="E655" i="10"/>
  <c r="E654" i="10"/>
  <c r="E653" i="10"/>
  <c r="E652" i="10"/>
  <c r="E651" i="10"/>
  <c r="E650" i="10"/>
  <c r="E649" i="10"/>
  <c r="E648" i="10"/>
  <c r="E647" i="10"/>
  <c r="E646" i="10"/>
  <c r="E645" i="10"/>
  <c r="E644" i="10"/>
  <c r="E643" i="10"/>
  <c r="E642" i="10"/>
  <c r="E641" i="10"/>
  <c r="E640" i="10"/>
  <c r="E639" i="10"/>
  <c r="E638" i="10"/>
  <c r="E637" i="10"/>
  <c r="E636" i="10"/>
  <c r="E635" i="10"/>
  <c r="E634" i="10"/>
  <c r="E633" i="10"/>
  <c r="E632" i="10"/>
  <c r="E631" i="10"/>
  <c r="E630" i="10"/>
  <c r="E629" i="10"/>
  <c r="E628" i="10"/>
  <c r="E627" i="10"/>
  <c r="E626" i="10"/>
  <c r="E625" i="10"/>
  <c r="E624" i="10"/>
  <c r="E623" i="10"/>
  <c r="E622" i="10"/>
  <c r="E621" i="10"/>
  <c r="E620" i="10"/>
  <c r="E619" i="10"/>
  <c r="E618" i="10"/>
  <c r="E617" i="10"/>
  <c r="E616" i="10"/>
  <c r="E615" i="10"/>
  <c r="E614" i="10"/>
  <c r="E613" i="10"/>
  <c r="E612" i="10"/>
  <c r="E611" i="10"/>
  <c r="E610" i="10"/>
  <c r="E609" i="10"/>
  <c r="E608" i="10"/>
  <c r="E607" i="10"/>
  <c r="E606" i="10"/>
  <c r="E605" i="10"/>
  <c r="E604" i="10"/>
  <c r="E603" i="10"/>
  <c r="E602" i="10"/>
  <c r="E601" i="10"/>
  <c r="E600" i="10"/>
  <c r="E599" i="10"/>
  <c r="E598" i="10"/>
  <c r="E597" i="10"/>
  <c r="E596" i="10"/>
  <c r="E595" i="10"/>
  <c r="E594" i="10"/>
  <c r="E593" i="10"/>
  <c r="E592" i="10"/>
  <c r="E591" i="10"/>
  <c r="E590" i="10"/>
  <c r="E589" i="10"/>
  <c r="E588" i="10"/>
  <c r="E587" i="10"/>
  <c r="E586" i="10"/>
  <c r="E585" i="10"/>
  <c r="E584" i="10"/>
  <c r="E583" i="10"/>
  <c r="E582" i="10"/>
  <c r="E581" i="10"/>
  <c r="E580" i="10"/>
  <c r="E579" i="10"/>
  <c r="E578" i="10"/>
  <c r="E577" i="10"/>
  <c r="E576" i="10"/>
  <c r="E575" i="10"/>
  <c r="E574" i="10"/>
  <c r="E573" i="10"/>
  <c r="E572" i="10"/>
  <c r="E571" i="10"/>
  <c r="E570" i="10"/>
  <c r="E569" i="10"/>
  <c r="E568" i="10"/>
  <c r="E567" i="10"/>
  <c r="E566" i="10"/>
  <c r="E565" i="10"/>
  <c r="E564" i="10"/>
  <c r="E563" i="10"/>
  <c r="E562" i="10"/>
  <c r="E561" i="10"/>
  <c r="E560" i="10"/>
  <c r="E559" i="10"/>
  <c r="E558" i="10"/>
  <c r="E557" i="10"/>
  <c r="E556" i="10"/>
  <c r="E555" i="10"/>
  <c r="E554" i="10"/>
  <c r="E553" i="10"/>
  <c r="E552" i="10"/>
  <c r="E551" i="10"/>
  <c r="E550" i="10"/>
  <c r="E549" i="10"/>
  <c r="E548" i="10"/>
  <c r="E547" i="10"/>
  <c r="E546" i="10"/>
  <c r="E545" i="10"/>
  <c r="E544" i="10"/>
  <c r="E543" i="10"/>
  <c r="E542" i="10"/>
  <c r="E541" i="10"/>
  <c r="E540" i="10"/>
  <c r="E539" i="10"/>
  <c r="E538" i="10"/>
  <c r="E537" i="10"/>
  <c r="E536" i="10"/>
  <c r="E535" i="10"/>
  <c r="E534" i="10"/>
  <c r="E533" i="10"/>
  <c r="E532" i="10"/>
  <c r="E531" i="10"/>
  <c r="E530" i="10"/>
  <c r="E529" i="10"/>
  <c r="E528" i="10"/>
  <c r="E527" i="10"/>
  <c r="E526" i="10"/>
  <c r="E525" i="10"/>
  <c r="E524" i="10"/>
  <c r="E523" i="10"/>
  <c r="E522" i="10"/>
  <c r="E521" i="10"/>
  <c r="E520" i="10"/>
  <c r="E519" i="10"/>
  <c r="E518" i="10"/>
  <c r="E517" i="10"/>
  <c r="E516" i="10"/>
  <c r="E515" i="10"/>
  <c r="E514" i="10"/>
  <c r="E513" i="10"/>
  <c r="E512" i="10"/>
  <c r="E511" i="10"/>
  <c r="E510" i="10"/>
  <c r="E509" i="10"/>
  <c r="E508" i="10"/>
  <c r="E507" i="10"/>
  <c r="E506" i="10"/>
  <c r="E505" i="10"/>
  <c r="E504" i="10"/>
  <c r="E503" i="10"/>
  <c r="E502" i="10"/>
  <c r="E501" i="10"/>
  <c r="E500" i="10"/>
  <c r="E499" i="10"/>
  <c r="E498" i="10"/>
  <c r="E497" i="10"/>
  <c r="E496" i="10"/>
  <c r="E495" i="10"/>
  <c r="E494" i="10"/>
  <c r="E493" i="10"/>
  <c r="E492" i="10"/>
  <c r="E491" i="10"/>
  <c r="E490" i="10"/>
  <c r="E489" i="10"/>
  <c r="E488" i="10"/>
  <c r="E487" i="10"/>
  <c r="E486" i="10"/>
  <c r="E485" i="10"/>
  <c r="E484" i="10"/>
  <c r="E483" i="10"/>
  <c r="E482" i="10"/>
  <c r="E481" i="10"/>
  <c r="E480" i="10"/>
  <c r="E479" i="10"/>
  <c r="E478" i="10"/>
  <c r="E477" i="10"/>
  <c r="E476" i="10"/>
  <c r="E475" i="10"/>
  <c r="E474" i="10"/>
  <c r="E473" i="10"/>
  <c r="E472" i="10"/>
  <c r="E471" i="10"/>
  <c r="E470" i="10"/>
  <c r="E469" i="10"/>
  <c r="E468" i="10"/>
  <c r="E467" i="10"/>
  <c r="E466" i="10"/>
  <c r="E465" i="10"/>
  <c r="E464" i="10"/>
  <c r="E463" i="10"/>
  <c r="E462" i="10"/>
  <c r="E461" i="10"/>
  <c r="E460" i="10"/>
  <c r="E459" i="10"/>
  <c r="E458" i="10"/>
  <c r="E457" i="10"/>
  <c r="E456" i="10"/>
  <c r="E455" i="10"/>
  <c r="E454" i="10"/>
  <c r="E453" i="10"/>
  <c r="E452" i="10"/>
  <c r="E451" i="10"/>
  <c r="E450" i="10"/>
  <c r="E449" i="10"/>
  <c r="E448" i="10"/>
  <c r="E447" i="10"/>
  <c r="E446" i="10"/>
  <c r="E445" i="10"/>
  <c r="E444" i="10"/>
  <c r="E443" i="10"/>
  <c r="E442" i="10"/>
  <c r="E441" i="10"/>
  <c r="E440" i="10"/>
  <c r="E439" i="10"/>
  <c r="E438" i="10"/>
  <c r="E437" i="10"/>
  <c r="E436" i="10"/>
  <c r="E435" i="10"/>
  <c r="E434" i="10"/>
  <c r="E433" i="10"/>
  <c r="E432" i="10"/>
  <c r="E431" i="10"/>
  <c r="E430" i="10"/>
  <c r="E429" i="10"/>
  <c r="E428" i="10"/>
  <c r="E427" i="10"/>
  <c r="E426" i="10"/>
  <c r="E425" i="10"/>
  <c r="E424" i="10"/>
  <c r="E423" i="10"/>
  <c r="E422" i="10"/>
  <c r="E421" i="10"/>
  <c r="E420" i="10"/>
  <c r="E419" i="10"/>
  <c r="E418" i="10"/>
  <c r="E417" i="10"/>
  <c r="E416" i="10"/>
  <c r="E415" i="10"/>
  <c r="E414" i="10"/>
  <c r="E413" i="10"/>
  <c r="E412" i="10"/>
  <c r="E411" i="10"/>
  <c r="E410" i="10"/>
  <c r="E409" i="10"/>
  <c r="E408" i="10"/>
  <c r="E407" i="10"/>
  <c r="E406" i="10"/>
  <c r="E405" i="10"/>
  <c r="E404" i="10"/>
  <c r="E403" i="10"/>
  <c r="E402" i="10"/>
  <c r="E401" i="10"/>
  <c r="E400" i="10"/>
  <c r="E399" i="10"/>
  <c r="E398" i="10"/>
  <c r="E397" i="10"/>
  <c r="E396" i="10"/>
  <c r="E395" i="10"/>
  <c r="E394" i="10"/>
  <c r="E393" i="10"/>
  <c r="E392" i="10"/>
  <c r="E391" i="10"/>
  <c r="E390" i="10"/>
  <c r="E389" i="10"/>
  <c r="E388" i="10"/>
  <c r="E387" i="10"/>
  <c r="E386" i="10"/>
  <c r="E385" i="10"/>
  <c r="E384" i="10"/>
  <c r="E383" i="10"/>
  <c r="E382" i="10"/>
  <c r="E381" i="10"/>
  <c r="E380" i="10"/>
  <c r="E379" i="10"/>
  <c r="E378" i="10"/>
  <c r="E377" i="10"/>
  <c r="E376" i="10"/>
  <c r="E375" i="10"/>
  <c r="E374" i="10"/>
  <c r="E373" i="10"/>
  <c r="E372" i="10"/>
  <c r="E371" i="10"/>
  <c r="E370" i="10"/>
  <c r="E369" i="10"/>
  <c r="E368" i="10"/>
  <c r="E367" i="10"/>
  <c r="E366" i="10"/>
  <c r="E365" i="10"/>
  <c r="E364" i="10"/>
  <c r="E363" i="10"/>
  <c r="E362" i="10"/>
  <c r="E361" i="10"/>
  <c r="E360" i="10"/>
  <c r="E359" i="10"/>
  <c r="E358" i="10"/>
  <c r="E357" i="10"/>
  <c r="E356" i="10"/>
  <c r="E355" i="10"/>
  <c r="E354" i="10"/>
  <c r="E353" i="10"/>
  <c r="E352" i="10"/>
  <c r="E351" i="10"/>
  <c r="E350" i="10"/>
  <c r="E349" i="10"/>
  <c r="E348" i="10"/>
  <c r="E347" i="10"/>
  <c r="E346" i="10"/>
  <c r="E345" i="10"/>
  <c r="E344" i="10"/>
  <c r="E343" i="10"/>
  <c r="E342" i="10"/>
  <c r="E341" i="10"/>
  <c r="E340" i="10"/>
  <c r="E339" i="10"/>
  <c r="E338" i="10"/>
  <c r="E337" i="10"/>
  <c r="E336" i="10"/>
  <c r="E335" i="10"/>
  <c r="E334" i="10"/>
  <c r="E333" i="10"/>
  <c r="E332" i="10"/>
  <c r="E331" i="10"/>
  <c r="E330" i="10"/>
  <c r="E329" i="10"/>
  <c r="E328" i="10"/>
  <c r="E327" i="10"/>
  <c r="E326" i="10"/>
  <c r="E325" i="10"/>
  <c r="E324" i="10"/>
  <c r="E323" i="10"/>
  <c r="E322" i="10"/>
  <c r="E321" i="10"/>
  <c r="E320" i="10"/>
  <c r="E319" i="10"/>
  <c r="E318" i="10"/>
  <c r="E317" i="10"/>
  <c r="E316" i="10"/>
  <c r="E315" i="10"/>
  <c r="E314" i="10"/>
  <c r="E313" i="10"/>
  <c r="E312" i="10"/>
  <c r="E311" i="10"/>
  <c r="E310" i="10"/>
  <c r="E309" i="10"/>
  <c r="E308" i="10"/>
  <c r="E307" i="10"/>
  <c r="E306" i="10"/>
  <c r="E305" i="10"/>
  <c r="E304" i="10"/>
  <c r="E303" i="10"/>
  <c r="E302" i="10"/>
  <c r="E301" i="10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</calcChain>
</file>

<file path=xl/sharedStrings.xml><?xml version="1.0" encoding="utf-8"?>
<sst xmlns="http://schemas.openxmlformats.org/spreadsheetml/2006/main" count="12" uniqueCount="12">
  <si>
    <t>Maturity</t>
  </si>
  <si>
    <t>years:</t>
  </si>
  <si>
    <t>UK nominal spot curve</t>
  </si>
  <si>
    <t>2s30s (bp)</t>
  </si>
  <si>
    <t>2s30s daily chg (bp)</t>
  </si>
  <si>
    <t>10y daily chg (bp)</t>
  </si>
  <si>
    <t>Note: Gilt yields are Bank of England fitted spot rates, so levels differ slightly from benchmark bond yields.</t>
  </si>
  <si>
    <t>10y spot, 1 Sep 26 (%)</t>
  </si>
  <si>
    <t>10y spot, 2 Sep 26 (%)</t>
  </si>
  <si>
    <t>Headline benchmark yield (%)</t>
  </si>
  <si>
    <t>Spot minus headline, 1 Sep (bp)</t>
  </si>
  <si>
    <t>Bloomberg benchmark, as quoted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</si>
</sst>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u/>
      <sz val="14"/>
      <name val="Times New Roman"/>
      <family val="1"/>
    </font>
    <font>
      <sz val="10"/>
      <color indexed="9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18">
    <xf numFmtId="0" fontId="0" fillId="0" borderId="0" xfId="0"/>
    <xf numFmtId="2" fontId="0" fillId="0" borderId="0" xfId="0" applyNumberFormat="1"/>
    <xf numFmtId="15" fontId="7" fillId="0" borderId="0" xfId="0" applyNumberFormat="1" applyFont="1" applyAlignment="1">
      <alignment horizontal="center"/>
    </xf>
    <xf numFmtId="2" fontId="8" fillId="0" borderId="0" xfId="0" applyNumberFormat="1" applyFont="1"/>
    <xf numFmtId="0" fontId="6" fillId="0" borderId="0" xfId="0" applyFont="1"/>
    <xf numFmtId="2" fontId="2" fillId="0" borderId="0" xfId="0" applyNumberFormat="1" applyFont="1"/>
    <xf numFmtId="0" fontId="9" fillId="0" borderId="0" xfId="0" applyFont="1" applyAlignment="1">
      <alignment horizontal="right"/>
    </xf>
    <xf numFmtId="2" fontId="4" fillId="0" borderId="0" xfId="0" applyNumberFormat="1" applyFont="1"/>
    <xf numFmtId="164" fontId="5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" fontId="5" fillId="0" borderId="0" xfId="0" applyNumberFormat="1" applyFont="1"/>
    <xf numFmtId="1" fontId="5" fillId="0" borderId="0" xfId="0" applyNumberFormat="1" applyFont="1" applyAlignment="1">
      <alignment horizontal="right"/>
    </xf>
    <xf numFmtId="165" fontId="2" fillId="0" borderId="0" xfId="0" applyNumberFormat="1" applyFont="1"/>
    <xf numFmtId="165" fontId="0" fillId="0" borderId="0" xfId="0" applyNumberFormat="1" applyAlignment="1">
      <alignment horizontal="right"/>
    </xf>
    <xf numFmtId="165" fontId="2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2" fontId="10" fillId="0" borderId="0" xfId="0" applyNumberFormat="1" applyFont="1"/>
    <xf numFmtId="2" fontId="11" fillId="0" borderId="0" xfId="0" applyNumberFormat="1" applyFont="1"/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UK 10y nominal spot yield (BoE), Jan 2024 – Oct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10y spot yield (%)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'4. spot curve'!$A$6:$A$705</c:f>
              <c:numCache>
                <c:formatCode>dd\ mmm\ yy</c:formatCode>
                <c:ptCount val="700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45320</c:v>
                </c:pt>
                <c:pt idx="20">
                  <c:v>45321</c:v>
                </c:pt>
                <c:pt idx="21">
                  <c:v>45322</c:v>
                </c:pt>
                <c:pt idx="22">
                  <c:v>45323</c:v>
                </c:pt>
                <c:pt idx="23">
                  <c:v>45324</c:v>
                </c:pt>
                <c:pt idx="24">
                  <c:v>45327</c:v>
                </c:pt>
                <c:pt idx="25">
                  <c:v>45328</c:v>
                </c:pt>
                <c:pt idx="26">
                  <c:v>45329</c:v>
                </c:pt>
                <c:pt idx="27">
                  <c:v>45330</c:v>
                </c:pt>
                <c:pt idx="28">
                  <c:v>45331</c:v>
                </c:pt>
                <c:pt idx="29">
                  <c:v>45334</c:v>
                </c:pt>
                <c:pt idx="30">
                  <c:v>45335</c:v>
                </c:pt>
                <c:pt idx="31">
                  <c:v>45336</c:v>
                </c:pt>
                <c:pt idx="32">
                  <c:v>45337</c:v>
                </c:pt>
                <c:pt idx="33">
                  <c:v>45338</c:v>
                </c:pt>
                <c:pt idx="34">
                  <c:v>45341</c:v>
                </c:pt>
                <c:pt idx="35">
                  <c:v>45342</c:v>
                </c:pt>
                <c:pt idx="36">
                  <c:v>45343</c:v>
                </c:pt>
                <c:pt idx="37">
                  <c:v>45344</c:v>
                </c:pt>
                <c:pt idx="38">
                  <c:v>45345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45351</c:v>
                </c:pt>
                <c:pt idx="43">
                  <c:v>45352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45362</c:v>
                </c:pt>
                <c:pt idx="50">
                  <c:v>45363</c:v>
                </c:pt>
                <c:pt idx="51">
                  <c:v>45364</c:v>
                </c:pt>
                <c:pt idx="52">
                  <c:v>45365</c:v>
                </c:pt>
                <c:pt idx="53">
                  <c:v>45366</c:v>
                </c:pt>
                <c:pt idx="54">
                  <c:v>45369</c:v>
                </c:pt>
                <c:pt idx="55">
                  <c:v>45370</c:v>
                </c:pt>
                <c:pt idx="56">
                  <c:v>45371</c:v>
                </c:pt>
                <c:pt idx="57">
                  <c:v>45372</c:v>
                </c:pt>
                <c:pt idx="58">
                  <c:v>45373</c:v>
                </c:pt>
                <c:pt idx="59">
                  <c:v>45376</c:v>
                </c:pt>
                <c:pt idx="60">
                  <c:v>45377</c:v>
                </c:pt>
                <c:pt idx="61">
                  <c:v>45378</c:v>
                </c:pt>
                <c:pt idx="62">
                  <c:v>45379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45390</c:v>
                </c:pt>
                <c:pt idx="68">
                  <c:v>45391</c:v>
                </c:pt>
                <c:pt idx="69">
                  <c:v>45392</c:v>
                </c:pt>
                <c:pt idx="70">
                  <c:v>45393</c:v>
                </c:pt>
                <c:pt idx="71">
                  <c:v>45394</c:v>
                </c:pt>
                <c:pt idx="72">
                  <c:v>45397</c:v>
                </c:pt>
                <c:pt idx="73">
                  <c:v>45398</c:v>
                </c:pt>
                <c:pt idx="74">
                  <c:v>45399</c:v>
                </c:pt>
                <c:pt idx="75">
                  <c:v>45400</c:v>
                </c:pt>
                <c:pt idx="76">
                  <c:v>45401</c:v>
                </c:pt>
                <c:pt idx="77">
                  <c:v>45404</c:v>
                </c:pt>
                <c:pt idx="78">
                  <c:v>45405</c:v>
                </c:pt>
                <c:pt idx="79">
                  <c:v>45406</c:v>
                </c:pt>
                <c:pt idx="80">
                  <c:v>45407</c:v>
                </c:pt>
                <c:pt idx="81">
                  <c:v>45408</c:v>
                </c:pt>
                <c:pt idx="82">
                  <c:v>45411</c:v>
                </c:pt>
                <c:pt idx="83">
                  <c:v>45412</c:v>
                </c:pt>
                <c:pt idx="84">
                  <c:v>45413</c:v>
                </c:pt>
                <c:pt idx="85">
                  <c:v>45414</c:v>
                </c:pt>
                <c:pt idx="86">
                  <c:v>45415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45462</c:v>
                </c:pt>
                <c:pt idx="118">
                  <c:v>45463</c:v>
                </c:pt>
                <c:pt idx="119">
                  <c:v>45464</c:v>
                </c:pt>
                <c:pt idx="120">
                  <c:v>45467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45474</c:v>
                </c:pt>
                <c:pt idx="126">
                  <c:v>45475</c:v>
                </c:pt>
                <c:pt idx="127">
                  <c:v>45476</c:v>
                </c:pt>
                <c:pt idx="128">
                  <c:v>45477</c:v>
                </c:pt>
                <c:pt idx="129">
                  <c:v>45478</c:v>
                </c:pt>
                <c:pt idx="130">
                  <c:v>45481</c:v>
                </c:pt>
                <c:pt idx="131">
                  <c:v>45482</c:v>
                </c:pt>
                <c:pt idx="132">
                  <c:v>45483</c:v>
                </c:pt>
                <c:pt idx="133">
                  <c:v>45484</c:v>
                </c:pt>
                <c:pt idx="134">
                  <c:v>45485</c:v>
                </c:pt>
                <c:pt idx="135">
                  <c:v>45488</c:v>
                </c:pt>
                <c:pt idx="136">
                  <c:v>45489</c:v>
                </c:pt>
                <c:pt idx="137">
                  <c:v>45490</c:v>
                </c:pt>
                <c:pt idx="138">
                  <c:v>45491</c:v>
                </c:pt>
                <c:pt idx="139">
                  <c:v>45492</c:v>
                </c:pt>
                <c:pt idx="140">
                  <c:v>45495</c:v>
                </c:pt>
                <c:pt idx="141">
                  <c:v>45496</c:v>
                </c:pt>
                <c:pt idx="142">
                  <c:v>45497</c:v>
                </c:pt>
                <c:pt idx="143">
                  <c:v>45498</c:v>
                </c:pt>
                <c:pt idx="144">
                  <c:v>45499</c:v>
                </c:pt>
                <c:pt idx="145">
                  <c:v>45502</c:v>
                </c:pt>
                <c:pt idx="146">
                  <c:v>45503</c:v>
                </c:pt>
                <c:pt idx="147">
                  <c:v>45504</c:v>
                </c:pt>
                <c:pt idx="148">
                  <c:v>45505</c:v>
                </c:pt>
                <c:pt idx="149">
                  <c:v>45506</c:v>
                </c:pt>
                <c:pt idx="150">
                  <c:v>45509</c:v>
                </c:pt>
                <c:pt idx="151">
                  <c:v>45510</c:v>
                </c:pt>
                <c:pt idx="152">
                  <c:v>45511</c:v>
                </c:pt>
                <c:pt idx="153">
                  <c:v>45512</c:v>
                </c:pt>
                <c:pt idx="154">
                  <c:v>45513</c:v>
                </c:pt>
                <c:pt idx="155">
                  <c:v>45516</c:v>
                </c:pt>
                <c:pt idx="156">
                  <c:v>45517</c:v>
                </c:pt>
                <c:pt idx="157">
                  <c:v>45518</c:v>
                </c:pt>
                <c:pt idx="158">
                  <c:v>45519</c:v>
                </c:pt>
                <c:pt idx="159">
                  <c:v>45520</c:v>
                </c:pt>
                <c:pt idx="160">
                  <c:v>45523</c:v>
                </c:pt>
                <c:pt idx="161">
                  <c:v>45524</c:v>
                </c:pt>
                <c:pt idx="162">
                  <c:v>45525</c:v>
                </c:pt>
                <c:pt idx="163">
                  <c:v>45526</c:v>
                </c:pt>
                <c:pt idx="164">
                  <c:v>45527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45600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45653</c:v>
                </c:pt>
                <c:pt idx="252">
                  <c:v>45656</c:v>
                </c:pt>
                <c:pt idx="253">
                  <c:v>45657</c:v>
                </c:pt>
                <c:pt idx="254">
                  <c:v>45659</c:v>
                </c:pt>
                <c:pt idx="255">
                  <c:v>45660</c:v>
                </c:pt>
                <c:pt idx="256">
                  <c:v>45663</c:v>
                </c:pt>
                <c:pt idx="257">
                  <c:v>45664</c:v>
                </c:pt>
                <c:pt idx="258">
                  <c:v>45665</c:v>
                </c:pt>
                <c:pt idx="259">
                  <c:v>45666</c:v>
                </c:pt>
                <c:pt idx="260">
                  <c:v>45667</c:v>
                </c:pt>
                <c:pt idx="261">
                  <c:v>45670</c:v>
                </c:pt>
                <c:pt idx="262">
                  <c:v>45671</c:v>
                </c:pt>
                <c:pt idx="263">
                  <c:v>45672</c:v>
                </c:pt>
                <c:pt idx="264">
                  <c:v>45673</c:v>
                </c:pt>
                <c:pt idx="265">
                  <c:v>45674</c:v>
                </c:pt>
                <c:pt idx="266">
                  <c:v>45677</c:v>
                </c:pt>
                <c:pt idx="267">
                  <c:v>45678</c:v>
                </c:pt>
                <c:pt idx="268">
                  <c:v>45679</c:v>
                </c:pt>
                <c:pt idx="269">
                  <c:v>45680</c:v>
                </c:pt>
                <c:pt idx="270">
                  <c:v>45681</c:v>
                </c:pt>
                <c:pt idx="271">
                  <c:v>45684</c:v>
                </c:pt>
                <c:pt idx="272">
                  <c:v>45685</c:v>
                </c:pt>
                <c:pt idx="273">
                  <c:v>45686</c:v>
                </c:pt>
                <c:pt idx="274">
                  <c:v>45687</c:v>
                </c:pt>
                <c:pt idx="275">
                  <c:v>45688</c:v>
                </c:pt>
                <c:pt idx="276">
                  <c:v>45691</c:v>
                </c:pt>
                <c:pt idx="277">
                  <c:v>45692</c:v>
                </c:pt>
                <c:pt idx="278">
                  <c:v>45693</c:v>
                </c:pt>
                <c:pt idx="279">
                  <c:v>45694</c:v>
                </c:pt>
                <c:pt idx="280">
                  <c:v>45695</c:v>
                </c:pt>
                <c:pt idx="281">
                  <c:v>45698</c:v>
                </c:pt>
                <c:pt idx="282">
                  <c:v>45699</c:v>
                </c:pt>
                <c:pt idx="283">
                  <c:v>45700</c:v>
                </c:pt>
                <c:pt idx="284">
                  <c:v>45701</c:v>
                </c:pt>
                <c:pt idx="285">
                  <c:v>45702</c:v>
                </c:pt>
                <c:pt idx="286">
                  <c:v>45705</c:v>
                </c:pt>
                <c:pt idx="287">
                  <c:v>45706</c:v>
                </c:pt>
                <c:pt idx="288">
                  <c:v>45707</c:v>
                </c:pt>
                <c:pt idx="289">
                  <c:v>45708</c:v>
                </c:pt>
                <c:pt idx="290">
                  <c:v>45709</c:v>
                </c:pt>
                <c:pt idx="291">
                  <c:v>45712</c:v>
                </c:pt>
                <c:pt idx="292">
                  <c:v>45713</c:v>
                </c:pt>
                <c:pt idx="293">
                  <c:v>45714</c:v>
                </c:pt>
                <c:pt idx="294">
                  <c:v>45715</c:v>
                </c:pt>
                <c:pt idx="295">
                  <c:v>45716</c:v>
                </c:pt>
                <c:pt idx="296">
                  <c:v>45719</c:v>
                </c:pt>
                <c:pt idx="297">
                  <c:v>45720</c:v>
                </c:pt>
                <c:pt idx="298">
                  <c:v>45721</c:v>
                </c:pt>
                <c:pt idx="299">
                  <c:v>45722</c:v>
                </c:pt>
                <c:pt idx="300">
                  <c:v>45723</c:v>
                </c:pt>
                <c:pt idx="301">
                  <c:v>45726</c:v>
                </c:pt>
                <c:pt idx="302">
                  <c:v>45727</c:v>
                </c:pt>
                <c:pt idx="303">
                  <c:v>45728</c:v>
                </c:pt>
                <c:pt idx="304">
                  <c:v>45729</c:v>
                </c:pt>
                <c:pt idx="305">
                  <c:v>45730</c:v>
                </c:pt>
                <c:pt idx="306">
                  <c:v>45733</c:v>
                </c:pt>
                <c:pt idx="307">
                  <c:v>45734</c:v>
                </c:pt>
                <c:pt idx="308">
                  <c:v>45735</c:v>
                </c:pt>
                <c:pt idx="309">
                  <c:v>45736</c:v>
                </c:pt>
                <c:pt idx="310">
                  <c:v>45737</c:v>
                </c:pt>
                <c:pt idx="311">
                  <c:v>45740</c:v>
                </c:pt>
                <c:pt idx="312">
                  <c:v>45741</c:v>
                </c:pt>
                <c:pt idx="313">
                  <c:v>45742</c:v>
                </c:pt>
                <c:pt idx="314">
                  <c:v>45743</c:v>
                </c:pt>
                <c:pt idx="315">
                  <c:v>45744</c:v>
                </c:pt>
                <c:pt idx="316">
                  <c:v>45747</c:v>
                </c:pt>
                <c:pt idx="317">
                  <c:v>45748</c:v>
                </c:pt>
                <c:pt idx="318">
                  <c:v>45749</c:v>
                </c:pt>
                <c:pt idx="319">
                  <c:v>45750</c:v>
                </c:pt>
                <c:pt idx="320">
                  <c:v>45751</c:v>
                </c:pt>
                <c:pt idx="321">
                  <c:v>45754</c:v>
                </c:pt>
                <c:pt idx="322">
                  <c:v>45755</c:v>
                </c:pt>
                <c:pt idx="323">
                  <c:v>45756</c:v>
                </c:pt>
                <c:pt idx="324">
                  <c:v>45757</c:v>
                </c:pt>
                <c:pt idx="325">
                  <c:v>45758</c:v>
                </c:pt>
                <c:pt idx="326">
                  <c:v>45761</c:v>
                </c:pt>
                <c:pt idx="327">
                  <c:v>45762</c:v>
                </c:pt>
                <c:pt idx="328">
                  <c:v>45763</c:v>
                </c:pt>
                <c:pt idx="329">
                  <c:v>45764</c:v>
                </c:pt>
                <c:pt idx="330">
                  <c:v>45769</c:v>
                </c:pt>
                <c:pt idx="331">
                  <c:v>45770</c:v>
                </c:pt>
                <c:pt idx="332">
                  <c:v>45771</c:v>
                </c:pt>
                <c:pt idx="333">
                  <c:v>45772</c:v>
                </c:pt>
                <c:pt idx="334">
                  <c:v>45775</c:v>
                </c:pt>
                <c:pt idx="335">
                  <c:v>45776</c:v>
                </c:pt>
                <c:pt idx="336">
                  <c:v>45777</c:v>
                </c:pt>
                <c:pt idx="337">
                  <c:v>45778</c:v>
                </c:pt>
                <c:pt idx="338">
                  <c:v>45779</c:v>
                </c:pt>
                <c:pt idx="339">
                  <c:v>45783</c:v>
                </c:pt>
                <c:pt idx="340">
                  <c:v>45784</c:v>
                </c:pt>
                <c:pt idx="341">
                  <c:v>45785</c:v>
                </c:pt>
                <c:pt idx="342">
                  <c:v>45786</c:v>
                </c:pt>
                <c:pt idx="343">
                  <c:v>45789</c:v>
                </c:pt>
                <c:pt idx="344">
                  <c:v>45790</c:v>
                </c:pt>
                <c:pt idx="345">
                  <c:v>45791</c:v>
                </c:pt>
                <c:pt idx="346">
                  <c:v>45792</c:v>
                </c:pt>
                <c:pt idx="347">
                  <c:v>45793</c:v>
                </c:pt>
                <c:pt idx="348">
                  <c:v>45796</c:v>
                </c:pt>
                <c:pt idx="349">
                  <c:v>45797</c:v>
                </c:pt>
                <c:pt idx="350">
                  <c:v>45798</c:v>
                </c:pt>
                <c:pt idx="351">
                  <c:v>45799</c:v>
                </c:pt>
                <c:pt idx="352">
                  <c:v>45800</c:v>
                </c:pt>
                <c:pt idx="353">
                  <c:v>45804</c:v>
                </c:pt>
                <c:pt idx="354">
                  <c:v>45805</c:v>
                </c:pt>
                <c:pt idx="355">
                  <c:v>45806</c:v>
                </c:pt>
                <c:pt idx="356">
                  <c:v>45807</c:v>
                </c:pt>
                <c:pt idx="357">
                  <c:v>45810</c:v>
                </c:pt>
                <c:pt idx="358">
                  <c:v>45811</c:v>
                </c:pt>
                <c:pt idx="359">
                  <c:v>45812</c:v>
                </c:pt>
                <c:pt idx="360">
                  <c:v>45813</c:v>
                </c:pt>
                <c:pt idx="361">
                  <c:v>45814</c:v>
                </c:pt>
                <c:pt idx="362">
                  <c:v>45817</c:v>
                </c:pt>
                <c:pt idx="363">
                  <c:v>45818</c:v>
                </c:pt>
                <c:pt idx="364">
                  <c:v>45819</c:v>
                </c:pt>
                <c:pt idx="365">
                  <c:v>45820</c:v>
                </c:pt>
                <c:pt idx="366">
                  <c:v>45821</c:v>
                </c:pt>
                <c:pt idx="367">
                  <c:v>45824</c:v>
                </c:pt>
                <c:pt idx="368">
                  <c:v>45825</c:v>
                </c:pt>
                <c:pt idx="369">
                  <c:v>45826</c:v>
                </c:pt>
                <c:pt idx="370">
                  <c:v>45827</c:v>
                </c:pt>
                <c:pt idx="371">
                  <c:v>45828</c:v>
                </c:pt>
                <c:pt idx="372">
                  <c:v>45831</c:v>
                </c:pt>
                <c:pt idx="373">
                  <c:v>45832</c:v>
                </c:pt>
                <c:pt idx="374">
                  <c:v>45833</c:v>
                </c:pt>
                <c:pt idx="375">
                  <c:v>45834</c:v>
                </c:pt>
                <c:pt idx="376">
                  <c:v>45835</c:v>
                </c:pt>
                <c:pt idx="377">
                  <c:v>45838</c:v>
                </c:pt>
                <c:pt idx="378">
                  <c:v>45839</c:v>
                </c:pt>
                <c:pt idx="379">
                  <c:v>45840</c:v>
                </c:pt>
                <c:pt idx="380">
                  <c:v>45841</c:v>
                </c:pt>
                <c:pt idx="381">
                  <c:v>45842</c:v>
                </c:pt>
                <c:pt idx="382">
                  <c:v>45845</c:v>
                </c:pt>
                <c:pt idx="383">
                  <c:v>45846</c:v>
                </c:pt>
                <c:pt idx="384">
                  <c:v>45847</c:v>
                </c:pt>
                <c:pt idx="385">
                  <c:v>45848</c:v>
                </c:pt>
                <c:pt idx="386">
                  <c:v>45849</c:v>
                </c:pt>
                <c:pt idx="387">
                  <c:v>45852</c:v>
                </c:pt>
                <c:pt idx="388">
                  <c:v>45853</c:v>
                </c:pt>
                <c:pt idx="389">
                  <c:v>45854</c:v>
                </c:pt>
                <c:pt idx="390">
                  <c:v>45855</c:v>
                </c:pt>
                <c:pt idx="391">
                  <c:v>45856</c:v>
                </c:pt>
                <c:pt idx="392">
                  <c:v>45859</c:v>
                </c:pt>
                <c:pt idx="393">
                  <c:v>45860</c:v>
                </c:pt>
                <c:pt idx="394">
                  <c:v>45861</c:v>
                </c:pt>
                <c:pt idx="395">
                  <c:v>45862</c:v>
                </c:pt>
                <c:pt idx="396">
                  <c:v>45863</c:v>
                </c:pt>
                <c:pt idx="397">
                  <c:v>45866</c:v>
                </c:pt>
                <c:pt idx="398">
                  <c:v>45867</c:v>
                </c:pt>
                <c:pt idx="399">
                  <c:v>45868</c:v>
                </c:pt>
                <c:pt idx="400">
                  <c:v>45869</c:v>
                </c:pt>
                <c:pt idx="401">
                  <c:v>45870</c:v>
                </c:pt>
                <c:pt idx="402">
                  <c:v>45873</c:v>
                </c:pt>
                <c:pt idx="403">
                  <c:v>45874</c:v>
                </c:pt>
                <c:pt idx="404">
                  <c:v>45875</c:v>
                </c:pt>
                <c:pt idx="405">
                  <c:v>45876</c:v>
                </c:pt>
                <c:pt idx="406">
                  <c:v>45877</c:v>
                </c:pt>
                <c:pt idx="407">
                  <c:v>45880</c:v>
                </c:pt>
                <c:pt idx="408">
                  <c:v>45881</c:v>
                </c:pt>
                <c:pt idx="409">
                  <c:v>45882</c:v>
                </c:pt>
                <c:pt idx="410">
                  <c:v>45883</c:v>
                </c:pt>
                <c:pt idx="411">
                  <c:v>45884</c:v>
                </c:pt>
                <c:pt idx="412">
                  <c:v>45887</c:v>
                </c:pt>
                <c:pt idx="413">
                  <c:v>45888</c:v>
                </c:pt>
                <c:pt idx="414">
                  <c:v>45889</c:v>
                </c:pt>
                <c:pt idx="415">
                  <c:v>45890</c:v>
                </c:pt>
                <c:pt idx="416">
                  <c:v>45891</c:v>
                </c:pt>
                <c:pt idx="417">
                  <c:v>45895</c:v>
                </c:pt>
                <c:pt idx="418">
                  <c:v>45896</c:v>
                </c:pt>
                <c:pt idx="419">
                  <c:v>45897</c:v>
                </c:pt>
                <c:pt idx="420">
                  <c:v>45898</c:v>
                </c:pt>
                <c:pt idx="421">
                  <c:v>45901</c:v>
                </c:pt>
                <c:pt idx="422">
                  <c:v>45902</c:v>
                </c:pt>
                <c:pt idx="423">
                  <c:v>45903</c:v>
                </c:pt>
                <c:pt idx="424">
                  <c:v>45904</c:v>
                </c:pt>
                <c:pt idx="425">
                  <c:v>45905</c:v>
                </c:pt>
                <c:pt idx="426">
                  <c:v>45908</c:v>
                </c:pt>
                <c:pt idx="427">
                  <c:v>45909</c:v>
                </c:pt>
                <c:pt idx="428">
                  <c:v>45910</c:v>
                </c:pt>
                <c:pt idx="429">
                  <c:v>45911</c:v>
                </c:pt>
                <c:pt idx="430">
                  <c:v>45912</c:v>
                </c:pt>
                <c:pt idx="431">
                  <c:v>45915</c:v>
                </c:pt>
                <c:pt idx="432">
                  <c:v>45916</c:v>
                </c:pt>
                <c:pt idx="433">
                  <c:v>45917</c:v>
                </c:pt>
                <c:pt idx="434">
                  <c:v>45918</c:v>
                </c:pt>
                <c:pt idx="435">
                  <c:v>45919</c:v>
                </c:pt>
                <c:pt idx="436">
                  <c:v>45922</c:v>
                </c:pt>
                <c:pt idx="437">
                  <c:v>45923</c:v>
                </c:pt>
                <c:pt idx="438">
                  <c:v>45924</c:v>
                </c:pt>
                <c:pt idx="439">
                  <c:v>45925</c:v>
                </c:pt>
                <c:pt idx="440">
                  <c:v>45926</c:v>
                </c:pt>
                <c:pt idx="441">
                  <c:v>45929</c:v>
                </c:pt>
                <c:pt idx="442">
                  <c:v>45930</c:v>
                </c:pt>
                <c:pt idx="443">
                  <c:v>45931</c:v>
                </c:pt>
                <c:pt idx="444">
                  <c:v>45932</c:v>
                </c:pt>
                <c:pt idx="445">
                  <c:v>45933</c:v>
                </c:pt>
                <c:pt idx="446">
                  <c:v>45936</c:v>
                </c:pt>
                <c:pt idx="447">
                  <c:v>45937</c:v>
                </c:pt>
                <c:pt idx="448">
                  <c:v>45938</c:v>
                </c:pt>
                <c:pt idx="449">
                  <c:v>45939</c:v>
                </c:pt>
                <c:pt idx="450">
                  <c:v>45940</c:v>
                </c:pt>
                <c:pt idx="451">
                  <c:v>45943</c:v>
                </c:pt>
                <c:pt idx="452">
                  <c:v>45944</c:v>
                </c:pt>
                <c:pt idx="453">
                  <c:v>45945</c:v>
                </c:pt>
                <c:pt idx="454">
                  <c:v>45946</c:v>
                </c:pt>
                <c:pt idx="455">
                  <c:v>45947</c:v>
                </c:pt>
                <c:pt idx="456">
                  <c:v>45950</c:v>
                </c:pt>
                <c:pt idx="457">
                  <c:v>45951</c:v>
                </c:pt>
                <c:pt idx="458">
                  <c:v>45952</c:v>
                </c:pt>
                <c:pt idx="459">
                  <c:v>45953</c:v>
                </c:pt>
                <c:pt idx="460">
                  <c:v>45954</c:v>
                </c:pt>
                <c:pt idx="461">
                  <c:v>45957</c:v>
                </c:pt>
                <c:pt idx="462">
                  <c:v>45958</c:v>
                </c:pt>
                <c:pt idx="463">
                  <c:v>45959</c:v>
                </c:pt>
                <c:pt idx="464">
                  <c:v>45960</c:v>
                </c:pt>
                <c:pt idx="465">
                  <c:v>45961</c:v>
                </c:pt>
                <c:pt idx="466">
                  <c:v>45964</c:v>
                </c:pt>
                <c:pt idx="467">
                  <c:v>45965</c:v>
                </c:pt>
                <c:pt idx="468">
                  <c:v>45966</c:v>
                </c:pt>
                <c:pt idx="469">
                  <c:v>45967</c:v>
                </c:pt>
                <c:pt idx="470">
                  <c:v>45968</c:v>
                </c:pt>
                <c:pt idx="471">
                  <c:v>45971</c:v>
                </c:pt>
                <c:pt idx="472">
                  <c:v>45972</c:v>
                </c:pt>
                <c:pt idx="473">
                  <c:v>45973</c:v>
                </c:pt>
                <c:pt idx="474">
                  <c:v>45974</c:v>
                </c:pt>
                <c:pt idx="475">
                  <c:v>45975</c:v>
                </c:pt>
                <c:pt idx="476">
                  <c:v>45978</c:v>
                </c:pt>
                <c:pt idx="477">
                  <c:v>45979</c:v>
                </c:pt>
                <c:pt idx="478">
                  <c:v>45980</c:v>
                </c:pt>
                <c:pt idx="479">
                  <c:v>45981</c:v>
                </c:pt>
                <c:pt idx="480">
                  <c:v>45982</c:v>
                </c:pt>
                <c:pt idx="481">
                  <c:v>45985</c:v>
                </c:pt>
                <c:pt idx="482">
                  <c:v>45986</c:v>
                </c:pt>
                <c:pt idx="483">
                  <c:v>45987</c:v>
                </c:pt>
                <c:pt idx="484">
                  <c:v>45988</c:v>
                </c:pt>
                <c:pt idx="485">
                  <c:v>45989</c:v>
                </c:pt>
                <c:pt idx="486">
                  <c:v>45992</c:v>
                </c:pt>
                <c:pt idx="487">
                  <c:v>45993</c:v>
                </c:pt>
                <c:pt idx="488">
                  <c:v>45994</c:v>
                </c:pt>
                <c:pt idx="489">
                  <c:v>45995</c:v>
                </c:pt>
                <c:pt idx="490">
                  <c:v>45996</c:v>
                </c:pt>
                <c:pt idx="491">
                  <c:v>45999</c:v>
                </c:pt>
                <c:pt idx="492">
                  <c:v>46000</c:v>
                </c:pt>
                <c:pt idx="493">
                  <c:v>46001</c:v>
                </c:pt>
                <c:pt idx="494">
                  <c:v>46002</c:v>
                </c:pt>
                <c:pt idx="495">
                  <c:v>46003</c:v>
                </c:pt>
                <c:pt idx="496">
                  <c:v>46006</c:v>
                </c:pt>
                <c:pt idx="497">
                  <c:v>46007</c:v>
                </c:pt>
                <c:pt idx="498">
                  <c:v>46008</c:v>
                </c:pt>
                <c:pt idx="499">
                  <c:v>46009</c:v>
                </c:pt>
                <c:pt idx="500">
                  <c:v>46010</c:v>
                </c:pt>
                <c:pt idx="501">
                  <c:v>46013</c:v>
                </c:pt>
                <c:pt idx="502">
                  <c:v>46014</c:v>
                </c:pt>
                <c:pt idx="503">
                  <c:v>46015</c:v>
                </c:pt>
                <c:pt idx="504">
                  <c:v>46020</c:v>
                </c:pt>
                <c:pt idx="505">
                  <c:v>46021</c:v>
                </c:pt>
                <c:pt idx="506">
                  <c:v>46022</c:v>
                </c:pt>
                <c:pt idx="507">
                  <c:v>46024</c:v>
                </c:pt>
                <c:pt idx="508">
                  <c:v>46027</c:v>
                </c:pt>
                <c:pt idx="509">
                  <c:v>46028</c:v>
                </c:pt>
                <c:pt idx="510">
                  <c:v>46029</c:v>
                </c:pt>
                <c:pt idx="511">
                  <c:v>46030</c:v>
                </c:pt>
                <c:pt idx="512">
                  <c:v>46031</c:v>
                </c:pt>
                <c:pt idx="513">
                  <c:v>46034</c:v>
                </c:pt>
                <c:pt idx="514">
                  <c:v>46035</c:v>
                </c:pt>
                <c:pt idx="515">
                  <c:v>46036</c:v>
                </c:pt>
                <c:pt idx="516">
                  <c:v>46037</c:v>
                </c:pt>
                <c:pt idx="517">
                  <c:v>46038</c:v>
                </c:pt>
                <c:pt idx="518">
                  <c:v>46041</c:v>
                </c:pt>
                <c:pt idx="519">
                  <c:v>46042</c:v>
                </c:pt>
                <c:pt idx="520">
                  <c:v>46043</c:v>
                </c:pt>
                <c:pt idx="521">
                  <c:v>46044</c:v>
                </c:pt>
                <c:pt idx="522">
                  <c:v>46045</c:v>
                </c:pt>
                <c:pt idx="523">
                  <c:v>46048</c:v>
                </c:pt>
                <c:pt idx="524">
                  <c:v>46049</c:v>
                </c:pt>
                <c:pt idx="525">
                  <c:v>46050</c:v>
                </c:pt>
                <c:pt idx="526">
                  <c:v>46051</c:v>
                </c:pt>
                <c:pt idx="527">
                  <c:v>46052</c:v>
                </c:pt>
                <c:pt idx="528">
                  <c:v>46055</c:v>
                </c:pt>
                <c:pt idx="529">
                  <c:v>46056</c:v>
                </c:pt>
                <c:pt idx="530">
                  <c:v>46057</c:v>
                </c:pt>
                <c:pt idx="531">
                  <c:v>46058</c:v>
                </c:pt>
                <c:pt idx="532">
                  <c:v>46059</c:v>
                </c:pt>
                <c:pt idx="533">
                  <c:v>46062</c:v>
                </c:pt>
                <c:pt idx="534">
                  <c:v>46063</c:v>
                </c:pt>
                <c:pt idx="535">
                  <c:v>46064</c:v>
                </c:pt>
                <c:pt idx="536">
                  <c:v>46065</c:v>
                </c:pt>
                <c:pt idx="537">
                  <c:v>46066</c:v>
                </c:pt>
                <c:pt idx="538">
                  <c:v>46069</c:v>
                </c:pt>
                <c:pt idx="539">
                  <c:v>46070</c:v>
                </c:pt>
                <c:pt idx="540">
                  <c:v>46071</c:v>
                </c:pt>
                <c:pt idx="541">
                  <c:v>46072</c:v>
                </c:pt>
                <c:pt idx="542">
                  <c:v>46073</c:v>
                </c:pt>
                <c:pt idx="543">
                  <c:v>46076</c:v>
                </c:pt>
                <c:pt idx="544">
                  <c:v>46077</c:v>
                </c:pt>
                <c:pt idx="545">
                  <c:v>46078</c:v>
                </c:pt>
                <c:pt idx="546">
                  <c:v>46079</c:v>
                </c:pt>
                <c:pt idx="547">
                  <c:v>46080</c:v>
                </c:pt>
                <c:pt idx="548">
                  <c:v>46083</c:v>
                </c:pt>
                <c:pt idx="549">
                  <c:v>46084</c:v>
                </c:pt>
                <c:pt idx="550">
                  <c:v>46085</c:v>
                </c:pt>
                <c:pt idx="551">
                  <c:v>46086</c:v>
                </c:pt>
                <c:pt idx="552">
                  <c:v>46087</c:v>
                </c:pt>
                <c:pt idx="553">
                  <c:v>46090</c:v>
                </c:pt>
                <c:pt idx="554">
                  <c:v>46091</c:v>
                </c:pt>
                <c:pt idx="555">
                  <c:v>46092</c:v>
                </c:pt>
                <c:pt idx="556">
                  <c:v>46093</c:v>
                </c:pt>
                <c:pt idx="557">
                  <c:v>46094</c:v>
                </c:pt>
                <c:pt idx="558">
                  <c:v>46097</c:v>
                </c:pt>
                <c:pt idx="559">
                  <c:v>46098</c:v>
                </c:pt>
                <c:pt idx="560">
                  <c:v>46099</c:v>
                </c:pt>
                <c:pt idx="561">
                  <c:v>46100</c:v>
                </c:pt>
                <c:pt idx="562">
                  <c:v>46101</c:v>
                </c:pt>
                <c:pt idx="563">
                  <c:v>46104</c:v>
                </c:pt>
                <c:pt idx="564">
                  <c:v>46105</c:v>
                </c:pt>
                <c:pt idx="565">
                  <c:v>46106</c:v>
                </c:pt>
                <c:pt idx="566">
                  <c:v>46107</c:v>
                </c:pt>
                <c:pt idx="567">
                  <c:v>46108</c:v>
                </c:pt>
                <c:pt idx="568">
                  <c:v>46111</c:v>
                </c:pt>
                <c:pt idx="569">
                  <c:v>46112</c:v>
                </c:pt>
                <c:pt idx="570">
                  <c:v>46113</c:v>
                </c:pt>
                <c:pt idx="571">
                  <c:v>46114</c:v>
                </c:pt>
                <c:pt idx="572">
                  <c:v>46119</c:v>
                </c:pt>
                <c:pt idx="573">
                  <c:v>46120</c:v>
                </c:pt>
                <c:pt idx="574">
                  <c:v>46121</c:v>
                </c:pt>
                <c:pt idx="575">
                  <c:v>46122</c:v>
                </c:pt>
                <c:pt idx="576">
                  <c:v>46125</c:v>
                </c:pt>
                <c:pt idx="577">
                  <c:v>46126</c:v>
                </c:pt>
                <c:pt idx="578">
                  <c:v>46127</c:v>
                </c:pt>
                <c:pt idx="579">
                  <c:v>46128</c:v>
                </c:pt>
                <c:pt idx="580">
                  <c:v>46129</c:v>
                </c:pt>
                <c:pt idx="581">
                  <c:v>46132</c:v>
                </c:pt>
                <c:pt idx="582">
                  <c:v>46133</c:v>
                </c:pt>
                <c:pt idx="583">
                  <c:v>46134</c:v>
                </c:pt>
                <c:pt idx="584">
                  <c:v>46135</c:v>
                </c:pt>
                <c:pt idx="585">
                  <c:v>46136</c:v>
                </c:pt>
                <c:pt idx="586">
                  <c:v>46139</c:v>
                </c:pt>
                <c:pt idx="587">
                  <c:v>46140</c:v>
                </c:pt>
                <c:pt idx="588">
                  <c:v>46141</c:v>
                </c:pt>
                <c:pt idx="589">
                  <c:v>46142</c:v>
                </c:pt>
                <c:pt idx="590">
                  <c:v>46143</c:v>
                </c:pt>
                <c:pt idx="591">
                  <c:v>46147</c:v>
                </c:pt>
                <c:pt idx="592">
                  <c:v>46148</c:v>
                </c:pt>
                <c:pt idx="593">
                  <c:v>46149</c:v>
                </c:pt>
                <c:pt idx="594">
                  <c:v>46150</c:v>
                </c:pt>
                <c:pt idx="595">
                  <c:v>46153</c:v>
                </c:pt>
                <c:pt idx="596">
                  <c:v>46154</c:v>
                </c:pt>
                <c:pt idx="597">
                  <c:v>46155</c:v>
                </c:pt>
                <c:pt idx="598">
                  <c:v>46156</c:v>
                </c:pt>
                <c:pt idx="599">
                  <c:v>46157</c:v>
                </c:pt>
                <c:pt idx="600">
                  <c:v>46160</c:v>
                </c:pt>
                <c:pt idx="601">
                  <c:v>46161</c:v>
                </c:pt>
                <c:pt idx="602">
                  <c:v>46162</c:v>
                </c:pt>
                <c:pt idx="603">
                  <c:v>46163</c:v>
                </c:pt>
                <c:pt idx="604">
                  <c:v>46164</c:v>
                </c:pt>
                <c:pt idx="605">
                  <c:v>46168</c:v>
                </c:pt>
                <c:pt idx="606">
                  <c:v>46169</c:v>
                </c:pt>
                <c:pt idx="607">
                  <c:v>46170</c:v>
                </c:pt>
                <c:pt idx="608">
                  <c:v>46171</c:v>
                </c:pt>
                <c:pt idx="609">
                  <c:v>46174</c:v>
                </c:pt>
                <c:pt idx="610">
                  <c:v>46175</c:v>
                </c:pt>
                <c:pt idx="611">
                  <c:v>46176</c:v>
                </c:pt>
                <c:pt idx="612">
                  <c:v>46177</c:v>
                </c:pt>
                <c:pt idx="613">
                  <c:v>46178</c:v>
                </c:pt>
                <c:pt idx="614">
                  <c:v>46181</c:v>
                </c:pt>
                <c:pt idx="615">
                  <c:v>46182</c:v>
                </c:pt>
                <c:pt idx="616">
                  <c:v>46183</c:v>
                </c:pt>
                <c:pt idx="617">
                  <c:v>46184</c:v>
                </c:pt>
                <c:pt idx="618">
                  <c:v>46185</c:v>
                </c:pt>
                <c:pt idx="619">
                  <c:v>46188</c:v>
                </c:pt>
                <c:pt idx="620">
                  <c:v>46189</c:v>
                </c:pt>
                <c:pt idx="621">
                  <c:v>46190</c:v>
                </c:pt>
                <c:pt idx="622">
                  <c:v>46191</c:v>
                </c:pt>
                <c:pt idx="623">
                  <c:v>46192</c:v>
                </c:pt>
                <c:pt idx="624">
                  <c:v>46195</c:v>
                </c:pt>
                <c:pt idx="625">
                  <c:v>46196</c:v>
                </c:pt>
                <c:pt idx="626">
                  <c:v>46197</c:v>
                </c:pt>
                <c:pt idx="627">
                  <c:v>46198</c:v>
                </c:pt>
                <c:pt idx="628">
                  <c:v>46199</c:v>
                </c:pt>
                <c:pt idx="629">
                  <c:v>46202</c:v>
                </c:pt>
                <c:pt idx="630">
                  <c:v>46203</c:v>
                </c:pt>
                <c:pt idx="631">
                  <c:v>46204</c:v>
                </c:pt>
                <c:pt idx="632">
                  <c:v>46205</c:v>
                </c:pt>
                <c:pt idx="633">
                  <c:v>46206</c:v>
                </c:pt>
                <c:pt idx="634">
                  <c:v>46209</c:v>
                </c:pt>
                <c:pt idx="635">
                  <c:v>46210</c:v>
                </c:pt>
                <c:pt idx="636">
                  <c:v>46211</c:v>
                </c:pt>
                <c:pt idx="637">
                  <c:v>46212</c:v>
                </c:pt>
                <c:pt idx="638">
                  <c:v>46213</c:v>
                </c:pt>
                <c:pt idx="639">
                  <c:v>46216</c:v>
                </c:pt>
                <c:pt idx="640">
                  <c:v>46217</c:v>
                </c:pt>
                <c:pt idx="641">
                  <c:v>46218</c:v>
                </c:pt>
                <c:pt idx="642">
                  <c:v>46219</c:v>
                </c:pt>
                <c:pt idx="643">
                  <c:v>46220</c:v>
                </c:pt>
                <c:pt idx="644">
                  <c:v>46223</c:v>
                </c:pt>
                <c:pt idx="645">
                  <c:v>46224</c:v>
                </c:pt>
                <c:pt idx="646">
                  <c:v>46225</c:v>
                </c:pt>
                <c:pt idx="647">
                  <c:v>46226</c:v>
                </c:pt>
                <c:pt idx="648">
                  <c:v>46227</c:v>
                </c:pt>
                <c:pt idx="649">
                  <c:v>46230</c:v>
                </c:pt>
                <c:pt idx="650">
                  <c:v>46231</c:v>
                </c:pt>
                <c:pt idx="651">
                  <c:v>46232</c:v>
                </c:pt>
                <c:pt idx="652">
                  <c:v>46233</c:v>
                </c:pt>
                <c:pt idx="653">
                  <c:v>46234</c:v>
                </c:pt>
                <c:pt idx="654">
                  <c:v>46237</c:v>
                </c:pt>
                <c:pt idx="655">
                  <c:v>46238</c:v>
                </c:pt>
                <c:pt idx="656">
                  <c:v>46239</c:v>
                </c:pt>
                <c:pt idx="657">
                  <c:v>46240</c:v>
                </c:pt>
                <c:pt idx="658">
                  <c:v>46241</c:v>
                </c:pt>
                <c:pt idx="659">
                  <c:v>46244</c:v>
                </c:pt>
                <c:pt idx="660">
                  <c:v>46245</c:v>
                </c:pt>
                <c:pt idx="661">
                  <c:v>46246</c:v>
                </c:pt>
                <c:pt idx="662">
                  <c:v>46247</c:v>
                </c:pt>
                <c:pt idx="663">
                  <c:v>46248</c:v>
                </c:pt>
                <c:pt idx="664">
                  <c:v>46251</c:v>
                </c:pt>
                <c:pt idx="665">
                  <c:v>46252</c:v>
                </c:pt>
                <c:pt idx="666">
                  <c:v>46253</c:v>
                </c:pt>
                <c:pt idx="667">
                  <c:v>46254</c:v>
                </c:pt>
                <c:pt idx="668">
                  <c:v>46255</c:v>
                </c:pt>
                <c:pt idx="669">
                  <c:v>46258</c:v>
                </c:pt>
                <c:pt idx="670">
                  <c:v>46259</c:v>
                </c:pt>
                <c:pt idx="671">
                  <c:v>46260</c:v>
                </c:pt>
                <c:pt idx="672">
                  <c:v>46261</c:v>
                </c:pt>
                <c:pt idx="673">
                  <c:v>46262</c:v>
                </c:pt>
                <c:pt idx="674">
                  <c:v>46266</c:v>
                </c:pt>
                <c:pt idx="675">
                  <c:v>46267</c:v>
                </c:pt>
                <c:pt idx="676">
                  <c:v>46268</c:v>
                </c:pt>
                <c:pt idx="677">
                  <c:v>46269</c:v>
                </c:pt>
                <c:pt idx="678">
                  <c:v>46272</c:v>
                </c:pt>
                <c:pt idx="679">
                  <c:v>46273</c:v>
                </c:pt>
                <c:pt idx="680">
                  <c:v>46274</c:v>
                </c:pt>
                <c:pt idx="681">
                  <c:v>46275</c:v>
                </c:pt>
                <c:pt idx="682">
                  <c:v>46276</c:v>
                </c:pt>
                <c:pt idx="683">
                  <c:v>46279</c:v>
                </c:pt>
                <c:pt idx="684">
                  <c:v>46280</c:v>
                </c:pt>
                <c:pt idx="685">
                  <c:v>46281</c:v>
                </c:pt>
                <c:pt idx="686">
                  <c:v>46282</c:v>
                </c:pt>
                <c:pt idx="687">
                  <c:v>46283</c:v>
                </c:pt>
                <c:pt idx="688">
                  <c:v>46286</c:v>
                </c:pt>
                <c:pt idx="689">
                  <c:v>46287</c:v>
                </c:pt>
                <c:pt idx="690">
                  <c:v>46288</c:v>
                </c:pt>
                <c:pt idx="691">
                  <c:v>46289</c:v>
                </c:pt>
                <c:pt idx="692">
                  <c:v>46290</c:v>
                </c:pt>
                <c:pt idx="693">
                  <c:v>46293</c:v>
                </c:pt>
                <c:pt idx="694">
                  <c:v>46294</c:v>
                </c:pt>
                <c:pt idx="695">
                  <c:v>46295</c:v>
                </c:pt>
                <c:pt idx="696">
                  <c:v>46296</c:v>
                </c:pt>
                <c:pt idx="697">
                  <c:v>46297</c:v>
                </c:pt>
                <c:pt idx="698">
                  <c:v>46300</c:v>
                </c:pt>
                <c:pt idx="699">
                  <c:v>46301</c:v>
                </c:pt>
              </c:numCache>
            </c:numRef>
          </c:cat>
          <c:val>
            <c:numRef>
              <c:f>'4. spot curve'!$C$6:$C$705</c:f>
              <c:numCache>
                <c:formatCode>0.00</c:formatCode>
                <c:ptCount val="700"/>
                <c:pt idx="0">
                  <c:v>3.67757899129654</c:v>
                </c:pt>
                <c:pt idx="1">
                  <c:v>3.7113626775201398</c:v>
                </c:pt>
                <c:pt idx="2">
                  <c:v>3.74740680055154</c:v>
                </c:pt>
                <c:pt idx="3">
                  <c:v>3.7868557254814701</c:v>
                </c:pt>
                <c:pt idx="4">
                  <c:v>3.8078176890998701</c:v>
                </c:pt>
                <c:pt idx="5">
                  <c:v>3.81688492602825</c:v>
                </c:pt>
                <c:pt idx="6">
                  <c:v>3.83740623790775</c:v>
                </c:pt>
                <c:pt idx="7">
                  <c:v>3.8790979597342701</c:v>
                </c:pt>
                <c:pt idx="8">
                  <c:v>3.8448416391893701</c:v>
                </c:pt>
                <c:pt idx="9">
                  <c:v>3.8474977866006301</c:v>
                </c:pt>
                <c:pt idx="10">
                  <c:v>3.8556450476897601</c:v>
                </c:pt>
                <c:pt idx="11">
                  <c:v>4.0094644672277404</c:v>
                </c:pt>
                <c:pt idx="12">
                  <c:v>3.9775401950061902</c:v>
                </c:pt>
                <c:pt idx="13">
                  <c:v>3.96127859711549</c:v>
                </c:pt>
                <c:pt idx="14">
                  <c:v>3.9276822737091401</c:v>
                </c:pt>
                <c:pt idx="15">
                  <c:v>4.01450134413966</c:v>
                </c:pt>
                <c:pt idx="16">
                  <c:v>4.0386809325783704</c:v>
                </c:pt>
                <c:pt idx="17">
                  <c:v>4.0114608614609297</c:v>
                </c:pt>
                <c:pt idx="18">
                  <c:v>4.0169133456150403</c:v>
                </c:pt>
                <c:pt idx="19">
                  <c:v>3.9479747330423902</c:v>
                </c:pt>
                <c:pt idx="20">
                  <c:v>3.9554598590299599</c:v>
                </c:pt>
                <c:pt idx="21">
                  <c:v>3.8426831737039699</c:v>
                </c:pt>
                <c:pt idx="22">
                  <c:v>3.7827698871912001</c:v>
                </c:pt>
                <c:pt idx="23">
                  <c:v>3.95138274602194</c:v>
                </c:pt>
                <c:pt idx="24">
                  <c:v>4.0681334584612401</c:v>
                </c:pt>
                <c:pt idx="25">
                  <c:v>3.9770304683110198</c:v>
                </c:pt>
                <c:pt idx="26">
                  <c:v>3.9956824697775901</c:v>
                </c:pt>
                <c:pt idx="27">
                  <c:v>4.0708771592529596</c:v>
                </c:pt>
                <c:pt idx="28">
                  <c:v>4.1113691203374403</c:v>
                </c:pt>
                <c:pt idx="29">
                  <c:v>4.0941109465896997</c:v>
                </c:pt>
                <c:pt idx="30">
                  <c:v>4.1564585150672197</c:v>
                </c:pt>
                <c:pt idx="31">
                  <c:v>4.0804699717213602</c:v>
                </c:pt>
                <c:pt idx="32">
                  <c:v>4.0715079898636697</c:v>
                </c:pt>
                <c:pt idx="33">
                  <c:v>4.1269789793516303</c:v>
                </c:pt>
                <c:pt idx="34">
                  <c:v>4.13474104160741</c:v>
                </c:pt>
                <c:pt idx="35">
                  <c:v>4.0750543193534998</c:v>
                </c:pt>
                <c:pt idx="36">
                  <c:v>4.1104367743057404</c:v>
                </c:pt>
                <c:pt idx="37">
                  <c:v>4.1091676844552998</c:v>
                </c:pt>
                <c:pt idx="38">
                  <c:v>4.0713864333504102</c:v>
                </c:pt>
                <c:pt idx="39">
                  <c:v>4.0935469074319499</c:v>
                </c:pt>
                <c:pt idx="40">
                  <c:v>4.1329043449441096</c:v>
                </c:pt>
                <c:pt idx="41">
                  <c:v>4.1355669550906304</c:v>
                </c:pt>
                <c:pt idx="42">
                  <c:v>4.0734692232342899</c:v>
                </c:pt>
                <c:pt idx="43">
                  <c:v>4.05254893453621</c:v>
                </c:pt>
                <c:pt idx="44">
                  <c:v>4.0827633337162599</c:v>
                </c:pt>
                <c:pt idx="45">
                  <c:v>3.9553255018409699</c:v>
                </c:pt>
                <c:pt idx="46">
                  <c:v>3.9585278637855299</c:v>
                </c:pt>
                <c:pt idx="47">
                  <c:v>3.9555340691319301</c:v>
                </c:pt>
                <c:pt idx="48">
                  <c:v>3.9338576985435698</c:v>
                </c:pt>
                <c:pt idx="49">
                  <c:v>3.9232963350363699</c:v>
                </c:pt>
                <c:pt idx="50">
                  <c:v>3.9009307655923799</c:v>
                </c:pt>
                <c:pt idx="51">
                  <c:v>3.9656814507267599</c:v>
                </c:pt>
                <c:pt idx="52">
                  <c:v>4.0387591738297397</c:v>
                </c:pt>
                <c:pt idx="53">
                  <c:v>4.0523486500010799</c:v>
                </c:pt>
                <c:pt idx="54">
                  <c:v>4.0415340312582204</c:v>
                </c:pt>
                <c:pt idx="55">
                  <c:v>4.0077129047127498</c:v>
                </c:pt>
                <c:pt idx="56">
                  <c:v>3.9721833141689298</c:v>
                </c:pt>
                <c:pt idx="57">
                  <c:v>3.9509101569726699</c:v>
                </c:pt>
                <c:pt idx="58">
                  <c:v>3.8990705472021698</c:v>
                </c:pt>
                <c:pt idx="59">
                  <c:v>3.9538206109809702</c:v>
                </c:pt>
                <c:pt idx="60">
                  <c:v>3.9338025077208498</c:v>
                </c:pt>
                <c:pt idx="61">
                  <c:v>3.9077577834038801</c:v>
                </c:pt>
                <c:pt idx="62">
                  <c:v>3.8916546165480601</c:v>
                </c:pt>
                <c:pt idx="63">
                  <c:v>4.0494026427816001</c:v>
                </c:pt>
                <c:pt idx="64">
                  <c:v>4.0392074007906897</c:v>
                </c:pt>
                <c:pt idx="65">
                  <c:v>3.9754842171933999</c:v>
                </c:pt>
                <c:pt idx="66">
                  <c:v>4.03939014090769</c:v>
                </c:pt>
                <c:pt idx="67">
                  <c:v>4.0552725139682302</c:v>
                </c:pt>
                <c:pt idx="68">
                  <c:v>3.9911684719279901</c:v>
                </c:pt>
                <c:pt idx="69">
                  <c:v>4.09344514974405</c:v>
                </c:pt>
                <c:pt idx="70">
                  <c:v>4.1769325708609397</c:v>
                </c:pt>
                <c:pt idx="71">
                  <c:v>4.0902351702268298</c:v>
                </c:pt>
                <c:pt idx="72">
                  <c:v>4.2033862350239604</c:v>
                </c:pt>
                <c:pt idx="73">
                  <c:v>4.2577809353851901</c:v>
                </c:pt>
                <c:pt idx="74">
                  <c:v>4.2350989436617201</c:v>
                </c:pt>
                <c:pt idx="75">
                  <c:v>4.2164147498836702</c:v>
                </c:pt>
                <c:pt idx="76">
                  <c:v>4.2108313588472503</c:v>
                </c:pt>
                <c:pt idx="77">
                  <c:v>4.1683866271261003</c:v>
                </c:pt>
                <c:pt idx="78">
                  <c:v>4.2149297300539397</c:v>
                </c:pt>
                <c:pt idx="79">
                  <c:v>4.2923286684147701</c:v>
                </c:pt>
                <c:pt idx="80">
                  <c:v>4.3175252910523101</c:v>
                </c:pt>
                <c:pt idx="81">
                  <c:v>4.2794134690345897</c:v>
                </c:pt>
                <c:pt idx="82">
                  <c:v>4.2422570301726896</c:v>
                </c:pt>
                <c:pt idx="83">
                  <c:v>4.3159605548406299</c:v>
                </c:pt>
                <c:pt idx="84">
                  <c:v>4.3286130462827996</c:v>
                </c:pt>
                <c:pt idx="85">
                  <c:v>4.2586598232628097</c:v>
                </c:pt>
                <c:pt idx="86">
                  <c:v>4.1975506707872103</c:v>
                </c:pt>
                <c:pt idx="87">
                  <c:v>4.0893448759151596</c:v>
                </c:pt>
                <c:pt idx="88">
                  <c:v>4.0929234167157897</c:v>
                </c:pt>
                <c:pt idx="89">
                  <c:v>4.1052988275399196</c:v>
                </c:pt>
                <c:pt idx="90">
                  <c:v>4.1261228489166397</c:v>
                </c:pt>
                <c:pt idx="91">
                  <c:v>4.1253493796533602</c:v>
                </c:pt>
                <c:pt idx="92">
                  <c:v>4.1260143018133704</c:v>
                </c:pt>
                <c:pt idx="93">
                  <c:v>4.0232476343003896</c:v>
                </c:pt>
                <c:pt idx="94">
                  <c:v>4.0183766572311796</c:v>
                </c:pt>
                <c:pt idx="95">
                  <c:v>4.0886427989083503</c:v>
                </c:pt>
                <c:pt idx="96">
                  <c:v>4.13264811420696</c:v>
                </c:pt>
                <c:pt idx="97">
                  <c:v>4.1090490594075399</c:v>
                </c:pt>
                <c:pt idx="98">
                  <c:v>4.1892883155494998</c:v>
                </c:pt>
                <c:pt idx="99">
                  <c:v>4.2190333730075196</c:v>
                </c:pt>
                <c:pt idx="100">
                  <c:v>4.2137352965452104</c:v>
                </c:pt>
                <c:pt idx="101">
                  <c:v>4.2294471367534303</c:v>
                </c:pt>
                <c:pt idx="102">
                  <c:v>4.3475553162923699</c:v>
                </c:pt>
                <c:pt idx="103">
                  <c:v>4.3252526454548397</c:v>
                </c:pt>
                <c:pt idx="104">
                  <c:v>4.2692503022077899</c:v>
                </c:pt>
                <c:pt idx="105">
                  <c:v>4.1950000835064296</c:v>
                </c:pt>
                <c:pt idx="106">
                  <c:v>4.1441978558713402</c:v>
                </c:pt>
                <c:pt idx="107">
                  <c:v>4.1454614574626802</c:v>
                </c:pt>
                <c:pt idx="108">
                  <c:v>4.1358462145555102</c:v>
                </c:pt>
                <c:pt idx="109">
                  <c:v>4.2215891259740497</c:v>
                </c:pt>
                <c:pt idx="110">
                  <c:v>4.2869703590313204</c:v>
                </c:pt>
                <c:pt idx="111">
                  <c:v>4.2327252625905496</c:v>
                </c:pt>
                <c:pt idx="112">
                  <c:v>4.1043931957996298</c:v>
                </c:pt>
                <c:pt idx="113">
                  <c:v>4.1180264295415103</c:v>
                </c:pt>
                <c:pt idx="114">
                  <c:v>4.0185838799870996</c:v>
                </c:pt>
                <c:pt idx="115">
                  <c:v>4.0764598019567799</c:v>
                </c:pt>
                <c:pt idx="116">
                  <c:v>4.0313832063485302</c:v>
                </c:pt>
                <c:pt idx="117">
                  <c:v>4.0494709632282602</c:v>
                </c:pt>
                <c:pt idx="118">
                  <c:v>4.03512567633181</c:v>
                </c:pt>
                <c:pt idx="119">
                  <c:v>4.0537646548791697</c:v>
                </c:pt>
                <c:pt idx="120">
                  <c:v>4.0571163061545601</c:v>
                </c:pt>
                <c:pt idx="121">
                  <c:v>4.0438680346595497</c:v>
                </c:pt>
                <c:pt idx="122">
                  <c:v>4.1105881473632504</c:v>
                </c:pt>
                <c:pt idx="123">
                  <c:v>4.1053977411201403</c:v>
                </c:pt>
                <c:pt idx="124">
                  <c:v>4.1534065131741702</c:v>
                </c:pt>
                <c:pt idx="125">
                  <c:v>4.2510244780630302</c:v>
                </c:pt>
                <c:pt idx="126">
                  <c:v>4.2248596469202404</c:v>
                </c:pt>
                <c:pt idx="127">
                  <c:v>4.1376776712304801</c:v>
                </c:pt>
                <c:pt idx="128">
                  <c:v>4.1770951016555502</c:v>
                </c:pt>
                <c:pt idx="129">
                  <c:v>4.1037038674127597</c:v>
                </c:pt>
                <c:pt idx="130">
                  <c:v>4.0865658885398304</c:v>
                </c:pt>
                <c:pt idx="131">
                  <c:v>4.1429495127947398</c:v>
                </c:pt>
                <c:pt idx="132">
                  <c:v>4.1106243642832201</c:v>
                </c:pt>
                <c:pt idx="133">
                  <c:v>4.0550963004996898</c:v>
                </c:pt>
                <c:pt idx="134">
                  <c:v>4.0936177969821701</c:v>
                </c:pt>
                <c:pt idx="135">
                  <c:v>4.0800928811487003</c:v>
                </c:pt>
                <c:pt idx="136">
                  <c:v>4.05279950526044</c:v>
                </c:pt>
                <c:pt idx="137">
                  <c:v>4.0577274614401304</c:v>
                </c:pt>
                <c:pt idx="138">
                  <c:v>4.0242673611667499</c:v>
                </c:pt>
                <c:pt idx="139">
                  <c:v>4.1025293584448503</c:v>
                </c:pt>
                <c:pt idx="140">
                  <c:v>4.1172594041179504</c:v>
                </c:pt>
                <c:pt idx="141">
                  <c:v>4.11618196089485</c:v>
                </c:pt>
                <c:pt idx="142">
                  <c:v>4.1302000310332296</c:v>
                </c:pt>
                <c:pt idx="143">
                  <c:v>4.1110089044279201</c:v>
                </c:pt>
                <c:pt idx="144">
                  <c:v>4.0849425694750403</c:v>
                </c:pt>
                <c:pt idx="145">
                  <c:v>4.0317269153798003</c:v>
                </c:pt>
                <c:pt idx="146">
                  <c:v>4.0268389849464201</c:v>
                </c:pt>
                <c:pt idx="147">
                  <c:v>3.9720660733729498</c:v>
                </c:pt>
                <c:pt idx="148">
                  <c:v>3.8610250971870399</c:v>
                </c:pt>
                <c:pt idx="149">
                  <c:v>3.8364111748926901</c:v>
                </c:pt>
                <c:pt idx="150">
                  <c:v>3.8450792984573399</c:v>
                </c:pt>
                <c:pt idx="151">
                  <c:v>3.9000004797127401</c:v>
                </c:pt>
                <c:pt idx="152">
                  <c:v>3.9515334806846201</c:v>
                </c:pt>
                <c:pt idx="153">
                  <c:v>3.9570532271490699</c:v>
                </c:pt>
                <c:pt idx="154">
                  <c:v>3.9293226008414801</c:v>
                </c:pt>
                <c:pt idx="155">
                  <c:v>3.9252499248260602</c:v>
                </c:pt>
                <c:pt idx="156">
                  <c:v>3.8686050073895002</c:v>
                </c:pt>
                <c:pt idx="157">
                  <c:v>3.81121020985954</c:v>
                </c:pt>
                <c:pt idx="158">
                  <c:v>3.9111433775875599</c:v>
                </c:pt>
                <c:pt idx="159">
                  <c:v>3.9094566013507102</c:v>
                </c:pt>
                <c:pt idx="160">
                  <c:v>3.9267168827640702</c:v>
                </c:pt>
                <c:pt idx="161">
                  <c:v>3.8990835889436899</c:v>
                </c:pt>
                <c:pt idx="162">
                  <c:v>3.8863424162812801</c:v>
                </c:pt>
                <c:pt idx="163">
                  <c:v>3.9477862062033799</c:v>
                </c:pt>
                <c:pt idx="164">
                  <c:v>3.8963945839438101</c:v>
                </c:pt>
                <c:pt idx="165">
                  <c:v>3.9632112869287699</c:v>
                </c:pt>
                <c:pt idx="166">
                  <c:v>3.96929399482294</c:v>
                </c:pt>
                <c:pt idx="167">
                  <c:v>3.99032830118463</c:v>
                </c:pt>
                <c:pt idx="168">
                  <c:v>3.9710068947697899</c:v>
                </c:pt>
                <c:pt idx="169">
                  <c:v>4.0197097086084197</c:v>
                </c:pt>
                <c:pt idx="170">
                  <c:v>3.9499903425285199</c:v>
                </c:pt>
                <c:pt idx="171">
                  <c:v>3.8975184895738502</c:v>
                </c:pt>
                <c:pt idx="172">
                  <c:v>3.89164897241207</c:v>
                </c:pt>
                <c:pt idx="173">
                  <c:v>3.8569792073966802</c:v>
                </c:pt>
                <c:pt idx="174">
                  <c:v>3.8396150904144002</c:v>
                </c:pt>
                <c:pt idx="175">
                  <c:v>3.8099361459967098</c:v>
                </c:pt>
                <c:pt idx="176">
                  <c:v>3.7245187839634899</c:v>
                </c:pt>
                <c:pt idx="177">
                  <c:v>3.7585133100286998</c:v>
                </c:pt>
                <c:pt idx="178">
                  <c:v>3.7498801874500698</c:v>
                </c:pt>
                <c:pt idx="179">
                  <c:v>3.7343572620032899</c:v>
                </c:pt>
                <c:pt idx="180">
                  <c:v>3.7487307282868998</c:v>
                </c:pt>
                <c:pt idx="181">
                  <c:v>3.8253512723709502</c:v>
                </c:pt>
                <c:pt idx="182">
                  <c:v>3.8668431397622398</c:v>
                </c:pt>
                <c:pt idx="183">
                  <c:v>3.8943361600028998</c:v>
                </c:pt>
                <c:pt idx="184">
                  <c:v>3.9149100857780299</c:v>
                </c:pt>
                <c:pt idx="185">
                  <c:v>3.91457311442284</c:v>
                </c:pt>
                <c:pt idx="186">
                  <c:v>3.9710023571975301</c:v>
                </c:pt>
                <c:pt idx="187">
                  <c:v>3.9674797621672502</c:v>
                </c:pt>
                <c:pt idx="188">
                  <c:v>3.9752319055960799</c:v>
                </c:pt>
                <c:pt idx="189">
                  <c:v>3.9914675950901901</c:v>
                </c:pt>
                <c:pt idx="190">
                  <c:v>3.9204899765835202</c:v>
                </c:pt>
                <c:pt idx="191">
                  <c:v>4.0227825428049302</c:v>
                </c:pt>
                <c:pt idx="192">
                  <c:v>3.99590550760003</c:v>
                </c:pt>
                <c:pt idx="193">
                  <c:v>4.1123844221746104</c:v>
                </c:pt>
                <c:pt idx="194">
                  <c:v>4.1838177596700197</c:v>
                </c:pt>
                <c:pt idx="195">
                  <c:v>4.1746095896673703</c:v>
                </c:pt>
                <c:pt idx="196">
                  <c:v>4.1643571341849901</c:v>
                </c:pt>
                <c:pt idx="197">
                  <c:v>4.2108157231156902</c:v>
                </c:pt>
                <c:pt idx="198">
                  <c:v>4.2004368707724398</c:v>
                </c:pt>
                <c:pt idx="199">
                  <c:v>4.2268454878581903</c:v>
                </c:pt>
                <c:pt idx="200">
                  <c:v>4.1458658561705102</c:v>
                </c:pt>
                <c:pt idx="201">
                  <c:v>4.0432876072911403</c:v>
                </c:pt>
                <c:pt idx="202">
                  <c:v>4.0896908346735401</c:v>
                </c:pt>
                <c:pt idx="203">
                  <c:v>4.0509476173978101</c:v>
                </c:pt>
                <c:pt idx="204">
                  <c:v>4.1116146066141699</c:v>
                </c:pt>
                <c:pt idx="205">
                  <c:v>4.1464011327702304</c:v>
                </c:pt>
                <c:pt idx="206">
                  <c:v>4.2026436941381098</c:v>
                </c:pt>
                <c:pt idx="207">
                  <c:v>4.2022495602804204</c:v>
                </c:pt>
                <c:pt idx="208">
                  <c:v>4.1985567662771599</c:v>
                </c:pt>
                <c:pt idx="209">
                  <c:v>4.2365186625122702</c:v>
                </c:pt>
                <c:pt idx="210">
                  <c:v>4.2856013608156402</c:v>
                </c:pt>
                <c:pt idx="211">
                  <c:v>4.3270705516921204</c:v>
                </c:pt>
                <c:pt idx="212">
                  <c:v>4.40960931806136</c:v>
                </c:pt>
                <c:pt idx="213">
                  <c:v>4.4258875455395099</c:v>
                </c:pt>
                <c:pt idx="214">
                  <c:v>4.4163006042840198</c:v>
                </c:pt>
                <c:pt idx="215">
                  <c:v>4.4883097405948602</c:v>
                </c:pt>
                <c:pt idx="216">
                  <c:v>4.5363988617196096</c:v>
                </c:pt>
                <c:pt idx="217">
                  <c:v>4.4680853016992002</c:v>
                </c:pt>
                <c:pt idx="218">
                  <c:v>4.4052197040172398</c:v>
                </c:pt>
                <c:pt idx="219">
                  <c:v>4.3909959325597097</c:v>
                </c:pt>
                <c:pt idx="220">
                  <c:v>4.4458593294624604</c:v>
                </c:pt>
                <c:pt idx="221">
                  <c:v>4.4871485868452403</c:v>
                </c:pt>
                <c:pt idx="222">
                  <c:v>4.47123303420687</c:v>
                </c:pt>
                <c:pt idx="223">
                  <c:v>4.4545321734845702</c:v>
                </c:pt>
                <c:pt idx="224">
                  <c:v>4.4536729677755202</c:v>
                </c:pt>
                <c:pt idx="225">
                  <c:v>4.4139396485463802</c:v>
                </c:pt>
                <c:pt idx="226">
                  <c:v>4.4565045212153303</c:v>
                </c:pt>
                <c:pt idx="227">
                  <c:v>4.4132319913861204</c:v>
                </c:pt>
                <c:pt idx="228">
                  <c:v>4.3735414468387797</c:v>
                </c:pt>
                <c:pt idx="229">
                  <c:v>4.3107735225016697</c:v>
                </c:pt>
                <c:pt idx="230">
                  <c:v>4.3365869185528698</c:v>
                </c:pt>
                <c:pt idx="231">
                  <c:v>4.2854443152463002</c:v>
                </c:pt>
                <c:pt idx="232">
                  <c:v>4.2583242419992802</c:v>
                </c:pt>
                <c:pt idx="233">
                  <c:v>4.2332654008372401</c:v>
                </c:pt>
                <c:pt idx="234">
                  <c:v>4.2085836689778597</c:v>
                </c:pt>
                <c:pt idx="235">
                  <c:v>4.2246209994745998</c:v>
                </c:pt>
                <c:pt idx="236">
                  <c:v>4.2242748257193696</c:v>
                </c:pt>
                <c:pt idx="237">
                  <c:v>4.2561305428402498</c:v>
                </c:pt>
                <c:pt idx="238">
                  <c:v>4.2633299886245597</c:v>
                </c:pt>
                <c:pt idx="239">
                  <c:v>4.2529621331505103</c:v>
                </c:pt>
                <c:pt idx="240">
                  <c:v>4.3026634109793997</c:v>
                </c:pt>
                <c:pt idx="241">
                  <c:v>4.30027697742148</c:v>
                </c:pt>
                <c:pt idx="242">
                  <c:v>4.3265431443996301</c:v>
                </c:pt>
                <c:pt idx="243">
                  <c:v>4.3913244796448998</c:v>
                </c:pt>
                <c:pt idx="244">
                  <c:v>4.4232081911744503</c:v>
                </c:pt>
                <c:pt idx="245">
                  <c:v>4.4998680663442601</c:v>
                </c:pt>
                <c:pt idx="246">
                  <c:v>4.5371661753911496</c:v>
                </c:pt>
                <c:pt idx="247">
                  <c:v>4.5773457465144096</c:v>
                </c:pt>
                <c:pt idx="248">
                  <c:v>4.5180566580011998</c:v>
                </c:pt>
                <c:pt idx="249">
                  <c:v>4.5568985703087899</c:v>
                </c:pt>
                <c:pt idx="250">
                  <c:v>4.5926395097975199</c:v>
                </c:pt>
                <c:pt idx="251">
                  <c:v>4.6235031581128698</c:v>
                </c:pt>
                <c:pt idx="252">
                  <c:v>4.5958819857334197</c:v>
                </c:pt>
                <c:pt idx="253">
                  <c:v>4.5700615817122596</c:v>
                </c:pt>
                <c:pt idx="254">
                  <c:v>4.5777161965809601</c:v>
                </c:pt>
                <c:pt idx="255">
                  <c:v>4.58755944800125</c:v>
                </c:pt>
                <c:pt idx="256">
                  <c:v>4.6155761294195496</c:v>
                </c:pt>
                <c:pt idx="257">
                  <c:v>4.6744710623780801</c:v>
                </c:pt>
                <c:pt idx="258">
                  <c:v>4.7951319613876304</c:v>
                </c:pt>
                <c:pt idx="259">
                  <c:v>4.7984671951839504</c:v>
                </c:pt>
                <c:pt idx="260">
                  <c:v>4.8468542692002101</c:v>
                </c:pt>
                <c:pt idx="261">
                  <c:v>4.8724669895762798</c:v>
                </c:pt>
                <c:pt idx="262">
                  <c:v>4.8856288246599497</c:v>
                </c:pt>
                <c:pt idx="263">
                  <c:v>4.7078683369035099</c:v>
                </c:pt>
                <c:pt idx="264">
                  <c:v>4.6725349499391102</c:v>
                </c:pt>
                <c:pt idx="265">
                  <c:v>4.6482798754571704</c:v>
                </c:pt>
                <c:pt idx="266">
                  <c:v>4.6603007885275796</c:v>
                </c:pt>
                <c:pt idx="267">
                  <c:v>4.5933276240073599</c:v>
                </c:pt>
                <c:pt idx="268">
                  <c:v>4.59949817422312</c:v>
                </c:pt>
                <c:pt idx="269">
                  <c:v>4.62732371032833</c:v>
                </c:pt>
                <c:pt idx="270">
                  <c:v>4.6272598322976997</c:v>
                </c:pt>
                <c:pt idx="271">
                  <c:v>4.5778889333687802</c:v>
                </c:pt>
                <c:pt idx="272">
                  <c:v>4.6109654385553203</c:v>
                </c:pt>
                <c:pt idx="273">
                  <c:v>4.5984149344787202</c:v>
                </c:pt>
                <c:pt idx="274">
                  <c:v>4.5600472150451896</c:v>
                </c:pt>
                <c:pt idx="275">
                  <c:v>4.5378672199748902</c:v>
                </c:pt>
                <c:pt idx="276">
                  <c:v>4.4963407075681303</c:v>
                </c:pt>
                <c:pt idx="277">
                  <c:v>4.5374379156420899</c:v>
                </c:pt>
                <c:pt idx="278">
                  <c:v>4.44214472306966</c:v>
                </c:pt>
                <c:pt idx="279">
                  <c:v>4.4684913692200201</c:v>
                </c:pt>
                <c:pt idx="280">
                  <c:v>4.4938802897908401</c:v>
                </c:pt>
                <c:pt idx="281">
                  <c:v>4.4678035873482296</c:v>
                </c:pt>
                <c:pt idx="282">
                  <c:v>4.5261318990510802</c:v>
                </c:pt>
                <c:pt idx="283">
                  <c:v>4.5745010286207703</c:v>
                </c:pt>
                <c:pt idx="284">
                  <c:v>4.4900031694254698</c:v>
                </c:pt>
                <c:pt idx="285">
                  <c:v>4.4990427751370401</c:v>
                </c:pt>
                <c:pt idx="286">
                  <c:v>4.5326121197090199</c:v>
                </c:pt>
                <c:pt idx="287">
                  <c:v>4.5673384758226598</c:v>
                </c:pt>
                <c:pt idx="288">
                  <c:v>4.6197708901931103</c:v>
                </c:pt>
                <c:pt idx="289">
                  <c:v>4.62445934703831</c:v>
                </c:pt>
                <c:pt idx="290">
                  <c:v>4.5864236641070697</c:v>
                </c:pt>
                <c:pt idx="291">
                  <c:v>4.5593498181295304</c:v>
                </c:pt>
                <c:pt idx="292">
                  <c:v>4.5084410391951204</c:v>
                </c:pt>
                <c:pt idx="293">
                  <c:v>4.5197071048420501</c:v>
                </c:pt>
                <c:pt idx="294">
                  <c:v>4.5338706143291398</c:v>
                </c:pt>
                <c:pt idx="295">
                  <c:v>4.4835364132742903</c:v>
                </c:pt>
                <c:pt idx="296">
                  <c:v>4.5463297986617004</c:v>
                </c:pt>
                <c:pt idx="297">
                  <c:v>4.4820670793673996</c:v>
                </c:pt>
                <c:pt idx="298">
                  <c:v>4.6621199926821504</c:v>
                </c:pt>
                <c:pt idx="299">
                  <c:v>4.6843624739503298</c:v>
                </c:pt>
                <c:pt idx="300">
                  <c:v>4.6249491896671202</c:v>
                </c:pt>
                <c:pt idx="301">
                  <c:v>4.6049947187180598</c:v>
                </c:pt>
                <c:pt idx="302">
                  <c:v>4.6450423976166997</c:v>
                </c:pt>
                <c:pt idx="303">
                  <c:v>4.7018116948748903</c:v>
                </c:pt>
                <c:pt idx="304">
                  <c:v>4.6644559897627502</c:v>
                </c:pt>
                <c:pt idx="305">
                  <c:v>4.6425029537185303</c:v>
                </c:pt>
                <c:pt idx="306">
                  <c:v>4.6027312940600096</c:v>
                </c:pt>
                <c:pt idx="307">
                  <c:v>4.6178619329712598</c:v>
                </c:pt>
                <c:pt idx="308">
                  <c:v>4.6122567786650901</c:v>
                </c:pt>
                <c:pt idx="309">
                  <c:v>4.63223908060061</c:v>
                </c:pt>
                <c:pt idx="310">
                  <c:v>4.67599883792996</c:v>
                </c:pt>
                <c:pt idx="311">
                  <c:v>4.7025367490077601</c:v>
                </c:pt>
                <c:pt idx="312">
                  <c:v>4.7293825390017998</c:v>
                </c:pt>
                <c:pt idx="313">
                  <c:v>4.7021719135520597</c:v>
                </c:pt>
                <c:pt idx="314">
                  <c:v>4.7699204149385404</c:v>
                </c:pt>
                <c:pt idx="315">
                  <c:v>4.68802428091566</c:v>
                </c:pt>
                <c:pt idx="316">
                  <c:v>4.6610878418761299</c:v>
                </c:pt>
                <c:pt idx="317">
                  <c:v>4.6212732732105497</c:v>
                </c:pt>
                <c:pt idx="318">
                  <c:v>4.6129976942156201</c:v>
                </c:pt>
                <c:pt idx="319">
                  <c:v>4.5004041797124996</c:v>
                </c:pt>
                <c:pt idx="320">
                  <c:v>4.4478973096772503</c:v>
                </c:pt>
                <c:pt idx="321">
                  <c:v>4.5989155923570202</c:v>
                </c:pt>
                <c:pt idx="322">
                  <c:v>4.6006133482521996</c:v>
                </c:pt>
                <c:pt idx="323">
                  <c:v>4.7415392203593703</c:v>
                </c:pt>
                <c:pt idx="324">
                  <c:v>4.6378843749940897</c:v>
                </c:pt>
                <c:pt idx="325">
                  <c:v>4.7441641743418304</c:v>
                </c:pt>
                <c:pt idx="326">
                  <c:v>4.6549223444747696</c:v>
                </c:pt>
                <c:pt idx="327">
                  <c:v>4.6420852986016801</c:v>
                </c:pt>
                <c:pt idx="328">
                  <c:v>4.6058099565340003</c:v>
                </c:pt>
                <c:pt idx="329">
                  <c:v>4.5617401693060904</c:v>
                </c:pt>
                <c:pt idx="330">
                  <c:v>4.5587049337572303</c:v>
                </c:pt>
                <c:pt idx="331">
                  <c:v>4.5594028075490503</c:v>
                </c:pt>
                <c:pt idx="332">
                  <c:v>4.4979583517091903</c:v>
                </c:pt>
                <c:pt idx="333">
                  <c:v>4.49076973845116</c:v>
                </c:pt>
                <c:pt idx="334">
                  <c:v>4.50260819788436</c:v>
                </c:pt>
                <c:pt idx="335">
                  <c:v>4.48020603555974</c:v>
                </c:pt>
                <c:pt idx="336">
                  <c:v>4.4529171649515797</c:v>
                </c:pt>
                <c:pt idx="337">
                  <c:v>4.4548547061499901</c:v>
                </c:pt>
                <c:pt idx="338">
                  <c:v>4.4885520425229002</c:v>
                </c:pt>
                <c:pt idx="339">
                  <c:v>4.5213936332828899</c:v>
                </c:pt>
                <c:pt idx="340">
                  <c:v>4.4597314166554698</c:v>
                </c:pt>
                <c:pt idx="341">
                  <c:v>4.5228327756755098</c:v>
                </c:pt>
                <c:pt idx="342">
                  <c:v>4.5615241290098396</c:v>
                </c:pt>
                <c:pt idx="343">
                  <c:v>4.6355312346647901</c:v>
                </c:pt>
                <c:pt idx="344">
                  <c:v>4.6536160703263496</c:v>
                </c:pt>
                <c:pt idx="345">
                  <c:v>4.7162270506104003</c:v>
                </c:pt>
                <c:pt idx="346">
                  <c:v>4.6714921242453196</c:v>
                </c:pt>
                <c:pt idx="347">
                  <c:v>4.64713609325681</c:v>
                </c:pt>
                <c:pt idx="348">
                  <c:v>4.6649500440768099</c:v>
                </c:pt>
                <c:pt idx="349">
                  <c:v>4.7064644852692004</c:v>
                </c:pt>
                <c:pt idx="350">
                  <c:v>4.7623413377810504</c:v>
                </c:pt>
                <c:pt idx="351">
                  <c:v>4.7743529726774696</c:v>
                </c:pt>
                <c:pt idx="352">
                  <c:v>4.7174073743931597</c:v>
                </c:pt>
                <c:pt idx="353">
                  <c:v>4.6918855042437499</c:v>
                </c:pt>
                <c:pt idx="354">
                  <c:v>4.7275393111573596</c:v>
                </c:pt>
                <c:pt idx="355">
                  <c:v>4.6660752261985499</c:v>
                </c:pt>
                <c:pt idx="356">
                  <c:v>4.6711802180832596</c:v>
                </c:pt>
                <c:pt idx="357">
                  <c:v>4.6632646402241402</c:v>
                </c:pt>
                <c:pt idx="358">
                  <c:v>4.6273717790097004</c:v>
                </c:pt>
                <c:pt idx="359">
                  <c:v>4.6287893406520997</c:v>
                </c:pt>
                <c:pt idx="360">
                  <c:v>4.6309968573414002</c:v>
                </c:pt>
                <c:pt idx="361">
                  <c:v>4.6469656303198903</c:v>
                </c:pt>
                <c:pt idx="362">
                  <c:v>4.6483108738878602</c:v>
                </c:pt>
                <c:pt idx="363">
                  <c:v>4.5590553616007297</c:v>
                </c:pt>
                <c:pt idx="364">
                  <c:v>4.5673898767118297</c:v>
                </c:pt>
                <c:pt idx="365">
                  <c:v>4.4966297707079201</c:v>
                </c:pt>
                <c:pt idx="366">
                  <c:v>4.5595942803307601</c:v>
                </c:pt>
                <c:pt idx="367">
                  <c:v>4.5417555802958898</c:v>
                </c:pt>
                <c:pt idx="368">
                  <c:v>4.5496791496966296</c:v>
                </c:pt>
                <c:pt idx="369">
                  <c:v>4.5102986931180196</c:v>
                </c:pt>
                <c:pt idx="370">
                  <c:v>4.5421700880993097</c:v>
                </c:pt>
                <c:pt idx="371">
                  <c:v>4.5475224351808903</c:v>
                </c:pt>
                <c:pt idx="372">
                  <c:v>4.5014603867768797</c:v>
                </c:pt>
                <c:pt idx="373">
                  <c:v>4.4648491991299801</c:v>
                </c:pt>
                <c:pt idx="374">
                  <c:v>4.4957102176873001</c:v>
                </c:pt>
                <c:pt idx="375">
                  <c:v>4.4864342360437997</c:v>
                </c:pt>
                <c:pt idx="376">
                  <c:v>4.5228960310000996</c:v>
                </c:pt>
                <c:pt idx="377">
                  <c:v>4.5139212823803101</c:v>
                </c:pt>
                <c:pt idx="378">
                  <c:v>4.4578712672619103</c:v>
                </c:pt>
                <c:pt idx="379">
                  <c:v>4.6122006565583504</c:v>
                </c:pt>
                <c:pt idx="380">
                  <c:v>4.5680788542303397</c:v>
                </c:pt>
                <c:pt idx="381">
                  <c:v>4.5742405624737899</c:v>
                </c:pt>
                <c:pt idx="382">
                  <c:v>4.6005792111086299</c:v>
                </c:pt>
                <c:pt idx="383">
                  <c:v>4.6553026734387002</c:v>
                </c:pt>
                <c:pt idx="384">
                  <c:v>4.62917177856216</c:v>
                </c:pt>
                <c:pt idx="385">
                  <c:v>4.6239138977012804</c:v>
                </c:pt>
                <c:pt idx="386">
                  <c:v>4.65394287250425</c:v>
                </c:pt>
                <c:pt idx="387">
                  <c:v>4.6351269634076697</c:v>
                </c:pt>
                <c:pt idx="388">
                  <c:v>4.6676950978847298</c:v>
                </c:pt>
                <c:pt idx="389">
                  <c:v>4.6728441154334401</c:v>
                </c:pt>
                <c:pt idx="390">
                  <c:v>4.6794657439769196</c:v>
                </c:pt>
                <c:pt idx="391">
                  <c:v>4.7166762988599897</c:v>
                </c:pt>
                <c:pt idx="392">
                  <c:v>4.6436174078965404</c:v>
                </c:pt>
                <c:pt idx="393">
                  <c:v>4.6050656578197096</c:v>
                </c:pt>
                <c:pt idx="394">
                  <c:v>4.6497608368222103</c:v>
                </c:pt>
                <c:pt idx="395">
                  <c:v>4.6671457687040903</c:v>
                </c:pt>
                <c:pt idx="396">
                  <c:v>4.6768741942459897</c:v>
                </c:pt>
                <c:pt idx="397">
                  <c:v>4.6815713880729399</c:v>
                </c:pt>
                <c:pt idx="398">
                  <c:v>4.6486034818072204</c:v>
                </c:pt>
                <c:pt idx="399">
                  <c:v>4.6306707347568299</c:v>
                </c:pt>
                <c:pt idx="400">
                  <c:v>4.6022994259505703</c:v>
                </c:pt>
                <c:pt idx="401">
                  <c:v>4.5727422304459902</c:v>
                </c:pt>
                <c:pt idx="402">
                  <c:v>4.54581979579382</c:v>
                </c:pt>
                <c:pt idx="403">
                  <c:v>4.53745538073058</c:v>
                </c:pt>
                <c:pt idx="404">
                  <c:v>4.5465508246679596</c:v>
                </c:pt>
                <c:pt idx="405">
                  <c:v>4.5739656574268297</c:v>
                </c:pt>
                <c:pt idx="406">
                  <c:v>4.6240928775631396</c:v>
                </c:pt>
                <c:pt idx="407">
                  <c:v>4.5925588546750804</c:v>
                </c:pt>
                <c:pt idx="408">
                  <c:v>4.6354709232652498</c:v>
                </c:pt>
                <c:pt idx="409">
                  <c:v>4.6151843995403201</c:v>
                </c:pt>
                <c:pt idx="410">
                  <c:v>4.66668019991946</c:v>
                </c:pt>
                <c:pt idx="411">
                  <c:v>4.7176251649948604</c:v>
                </c:pt>
                <c:pt idx="412">
                  <c:v>4.77482590548715</c:v>
                </c:pt>
                <c:pt idx="413">
                  <c:v>4.7679058091265603</c:v>
                </c:pt>
                <c:pt idx="414">
                  <c:v>4.7102780738209598</c:v>
                </c:pt>
                <c:pt idx="415">
                  <c:v>4.7679627138263099</c:v>
                </c:pt>
                <c:pt idx="416">
                  <c:v>4.72710641399759</c:v>
                </c:pt>
                <c:pt idx="417">
                  <c:v>4.7823857287698699</c:v>
                </c:pt>
                <c:pt idx="418">
                  <c:v>4.7658426441160398</c:v>
                </c:pt>
                <c:pt idx="419">
                  <c:v>4.7462034934049804</c:v>
                </c:pt>
                <c:pt idx="420">
                  <c:v>4.7688269706119</c:v>
                </c:pt>
                <c:pt idx="421">
                  <c:v>4.7999893456810199</c:v>
                </c:pt>
                <c:pt idx="422">
                  <c:v>4.8526918517123896</c:v>
                </c:pt>
                <c:pt idx="423">
                  <c:v>4.8012090309250599</c:v>
                </c:pt>
                <c:pt idx="424">
                  <c:v>4.7825963834499703</c:v>
                </c:pt>
                <c:pt idx="425">
                  <c:v>4.6980206268185096</c:v>
                </c:pt>
                <c:pt idx="426">
                  <c:v>4.6606121402840399</c:v>
                </c:pt>
                <c:pt idx="427">
                  <c:v>4.6801745946338</c:v>
                </c:pt>
                <c:pt idx="428">
                  <c:v>4.6863661188780901</c:v>
                </c:pt>
                <c:pt idx="429">
                  <c:v>4.6563339575219302</c:v>
                </c:pt>
                <c:pt idx="430">
                  <c:v>4.7049293964775698</c:v>
                </c:pt>
                <c:pt idx="431">
                  <c:v>4.6805462433322997</c:v>
                </c:pt>
                <c:pt idx="432">
                  <c:v>4.6902565562947904</c:v>
                </c:pt>
                <c:pt idx="433">
                  <c:v>4.6685950253584902</c:v>
                </c:pt>
                <c:pt idx="434">
                  <c:v>4.7160775393750596</c:v>
                </c:pt>
                <c:pt idx="435">
                  <c:v>4.7671860001570199</c:v>
                </c:pt>
                <c:pt idx="436">
                  <c:v>4.7538043110432904</c:v>
                </c:pt>
                <c:pt idx="437">
                  <c:v>4.7433418662620301</c:v>
                </c:pt>
                <c:pt idx="438">
                  <c:v>4.7313538822703203</c:v>
                </c:pt>
                <c:pt idx="439">
                  <c:v>4.8003674468207</c:v>
                </c:pt>
                <c:pt idx="440">
                  <c:v>4.8017754986060401</c:v>
                </c:pt>
                <c:pt idx="441">
                  <c:v>4.7587827942044498</c:v>
                </c:pt>
                <c:pt idx="442">
                  <c:v>4.7628351906055801</c:v>
                </c:pt>
                <c:pt idx="443">
                  <c:v>4.7558775506691902</c:v>
                </c:pt>
                <c:pt idx="444">
                  <c:v>4.7696981552161999</c:v>
                </c:pt>
                <c:pt idx="445">
                  <c:v>4.7534520432039704</c:v>
                </c:pt>
                <c:pt idx="446">
                  <c:v>4.7851098646511803</c:v>
                </c:pt>
                <c:pt idx="447">
                  <c:v>4.7945949581325502</c:v>
                </c:pt>
                <c:pt idx="448">
                  <c:v>4.7697263635616798</c:v>
                </c:pt>
                <c:pt idx="449">
                  <c:v>4.8085883615708296</c:v>
                </c:pt>
                <c:pt idx="450">
                  <c:v>4.7326488143282504</c:v>
                </c:pt>
                <c:pt idx="451">
                  <c:v>4.7242409627857098</c:v>
                </c:pt>
                <c:pt idx="452">
                  <c:v>4.6465968186811901</c:v>
                </c:pt>
                <c:pt idx="453">
                  <c:v>4.5963976747997304</c:v>
                </c:pt>
                <c:pt idx="454">
                  <c:v>4.5732883574968897</c:v>
                </c:pt>
                <c:pt idx="455">
                  <c:v>4.5962657075773397</c:v>
                </c:pt>
                <c:pt idx="456">
                  <c:v>4.5732400090730296</c:v>
                </c:pt>
                <c:pt idx="457">
                  <c:v>4.5432929773670496</c:v>
                </c:pt>
                <c:pt idx="458">
                  <c:v>4.4798548189023002</c:v>
                </c:pt>
                <c:pt idx="459">
                  <c:v>4.4791900053270401</c:v>
                </c:pt>
                <c:pt idx="460">
                  <c:v>4.49103172904326</c:v>
                </c:pt>
                <c:pt idx="461">
                  <c:v>4.4675648378253703</c:v>
                </c:pt>
                <c:pt idx="462">
                  <c:v>4.4618459549413299</c:v>
                </c:pt>
                <c:pt idx="463">
                  <c:v>4.4594796569185</c:v>
                </c:pt>
                <c:pt idx="464">
                  <c:v>4.4714203503162704</c:v>
                </c:pt>
                <c:pt idx="465">
                  <c:v>4.4773079806853699</c:v>
                </c:pt>
                <c:pt idx="466">
                  <c:v>4.5072789328022198</c:v>
                </c:pt>
                <c:pt idx="467">
                  <c:v>4.4734802077285396</c:v>
                </c:pt>
                <c:pt idx="468">
                  <c:v>4.5312195135618598</c:v>
                </c:pt>
                <c:pt idx="469">
                  <c:v>4.5025077554397299</c:v>
                </c:pt>
                <c:pt idx="470">
                  <c:v>4.5251236041845004</c:v>
                </c:pt>
                <c:pt idx="471">
                  <c:v>4.5210700850019201</c:v>
                </c:pt>
                <c:pt idx="472">
                  <c:v>4.4518335672697296</c:v>
                </c:pt>
                <c:pt idx="473">
                  <c:v>4.4741609719609796</c:v>
                </c:pt>
                <c:pt idx="474">
                  <c:v>4.5054296476835498</c:v>
                </c:pt>
                <c:pt idx="475">
                  <c:v>4.6369214232610902</c:v>
                </c:pt>
                <c:pt idx="476">
                  <c:v>4.6108732752661501</c:v>
                </c:pt>
                <c:pt idx="477">
                  <c:v>4.6187913239556497</c:v>
                </c:pt>
                <c:pt idx="478">
                  <c:v>4.6835713121282403</c:v>
                </c:pt>
                <c:pt idx="479">
                  <c:v>4.6592644377721903</c:v>
                </c:pt>
                <c:pt idx="480">
                  <c:v>4.6141496344312696</c:v>
                </c:pt>
                <c:pt idx="481">
                  <c:v>4.6240889372325196</c:v>
                </c:pt>
                <c:pt idx="482">
                  <c:v>4.5704923054449402</c:v>
                </c:pt>
                <c:pt idx="483">
                  <c:v>4.5109201151066598</c:v>
                </c:pt>
                <c:pt idx="484">
                  <c:v>4.54110659858405</c:v>
                </c:pt>
                <c:pt idx="485">
                  <c:v>4.5335487571513102</c:v>
                </c:pt>
                <c:pt idx="486">
                  <c:v>4.5652774620995196</c:v>
                </c:pt>
                <c:pt idx="487">
                  <c:v>4.5687184236013696</c:v>
                </c:pt>
                <c:pt idx="488">
                  <c:v>4.5227619446297398</c:v>
                </c:pt>
                <c:pt idx="489">
                  <c:v>4.5161144366163004</c:v>
                </c:pt>
                <c:pt idx="490">
                  <c:v>4.55707902867859</c:v>
                </c:pt>
                <c:pt idx="491">
                  <c:v>4.6227702303225504</c:v>
                </c:pt>
                <c:pt idx="492">
                  <c:v>4.5910383717969401</c:v>
                </c:pt>
                <c:pt idx="493">
                  <c:v>4.5947863053375197</c:v>
                </c:pt>
                <c:pt idx="494">
                  <c:v>4.55675523664772</c:v>
                </c:pt>
                <c:pt idx="495">
                  <c:v>4.6003945378553599</c:v>
                </c:pt>
                <c:pt idx="496">
                  <c:v>4.5715284515914796</c:v>
                </c:pt>
                <c:pt idx="497">
                  <c:v>4.5994363961527496</c:v>
                </c:pt>
                <c:pt idx="498">
                  <c:v>4.5527043855911602</c:v>
                </c:pt>
                <c:pt idx="499">
                  <c:v>4.5593472964212003</c:v>
                </c:pt>
                <c:pt idx="500">
                  <c:v>4.6022596525603703</c:v>
                </c:pt>
                <c:pt idx="501">
                  <c:v>4.6240953042139603</c:v>
                </c:pt>
                <c:pt idx="502">
                  <c:v>4.5939046265962196</c:v>
                </c:pt>
                <c:pt idx="503">
                  <c:v>4.5995782224989297</c:v>
                </c:pt>
                <c:pt idx="504">
                  <c:v>4.5751215690121496</c:v>
                </c:pt>
                <c:pt idx="505">
                  <c:v>4.5838201027271301</c:v>
                </c:pt>
                <c:pt idx="506">
                  <c:v>4.5715602580238599</c:v>
                </c:pt>
                <c:pt idx="507">
                  <c:v>4.6264845425494396</c:v>
                </c:pt>
                <c:pt idx="508">
                  <c:v>4.6033283470622797</c:v>
                </c:pt>
                <c:pt idx="509">
                  <c:v>4.5811148539737401</c:v>
                </c:pt>
                <c:pt idx="510">
                  <c:v>4.5104403176399099</c:v>
                </c:pt>
                <c:pt idx="511">
                  <c:v>4.5069514439441001</c:v>
                </c:pt>
                <c:pt idx="512">
                  <c:v>4.4697340383305102</c:v>
                </c:pt>
                <c:pt idx="513">
                  <c:v>4.4649952507111896</c:v>
                </c:pt>
                <c:pt idx="514">
                  <c:v>4.4838949114069404</c:v>
                </c:pt>
                <c:pt idx="515">
                  <c:v>4.44816675418115</c:v>
                </c:pt>
                <c:pt idx="516">
                  <c:v>4.4734059761420202</c:v>
                </c:pt>
                <c:pt idx="517">
                  <c:v>4.5004184388003496</c:v>
                </c:pt>
                <c:pt idx="518">
                  <c:v>4.5017953952271501</c:v>
                </c:pt>
                <c:pt idx="519">
                  <c:v>4.5570136816675397</c:v>
                </c:pt>
                <c:pt idx="520">
                  <c:v>4.5437944902086498</c:v>
                </c:pt>
                <c:pt idx="521">
                  <c:v>4.5770227015428402</c:v>
                </c:pt>
                <c:pt idx="522">
                  <c:v>4.5920952872964902</c:v>
                </c:pt>
                <c:pt idx="523">
                  <c:v>4.5885257035346196</c:v>
                </c:pt>
                <c:pt idx="524">
                  <c:v>4.6177896860748904</c:v>
                </c:pt>
                <c:pt idx="525">
                  <c:v>4.6377434211902999</c:v>
                </c:pt>
                <c:pt idx="526">
                  <c:v>4.6062085403489599</c:v>
                </c:pt>
                <c:pt idx="527">
                  <c:v>4.6273911755955304</c:v>
                </c:pt>
                <c:pt idx="528">
                  <c:v>4.6140422193984802</c:v>
                </c:pt>
                <c:pt idx="529">
                  <c:v>4.6177874269502697</c:v>
                </c:pt>
                <c:pt idx="530">
                  <c:v>4.64207354461852</c:v>
                </c:pt>
                <c:pt idx="531">
                  <c:v>4.6574105781634598</c:v>
                </c:pt>
                <c:pt idx="532">
                  <c:v>4.6380654825935101</c:v>
                </c:pt>
                <c:pt idx="533">
                  <c:v>4.6480187601787799</c:v>
                </c:pt>
                <c:pt idx="534">
                  <c:v>4.6119325947948999</c:v>
                </c:pt>
                <c:pt idx="535">
                  <c:v>4.5991135299554502</c:v>
                </c:pt>
                <c:pt idx="536">
                  <c:v>4.5619561803300899</c:v>
                </c:pt>
                <c:pt idx="537">
                  <c:v>4.5221577327497098</c:v>
                </c:pt>
                <c:pt idx="538">
                  <c:v>4.5145350436504303</c:v>
                </c:pt>
                <c:pt idx="539">
                  <c:v>4.4892862486191403</c:v>
                </c:pt>
                <c:pt idx="540">
                  <c:v>4.4891078190503402</c:v>
                </c:pt>
                <c:pt idx="541">
                  <c:v>4.4885380514612301</c:v>
                </c:pt>
                <c:pt idx="542">
                  <c:v>4.4673160974711204</c:v>
                </c:pt>
                <c:pt idx="543">
                  <c:v>4.42863005316247</c:v>
                </c:pt>
                <c:pt idx="544">
                  <c:v>4.4233074123341396</c:v>
                </c:pt>
                <c:pt idx="545">
                  <c:v>4.4290977578365203</c:v>
                </c:pt>
                <c:pt idx="546">
                  <c:v>4.3958015543573801</c:v>
                </c:pt>
                <c:pt idx="547">
                  <c:v>4.3519306091959304</c:v>
                </c:pt>
                <c:pt idx="548">
                  <c:v>4.4124649858475502</c:v>
                </c:pt>
                <c:pt idx="549">
                  <c:v>4.5553293976716898</c:v>
                </c:pt>
                <c:pt idx="550">
                  <c:v>4.4864669995190303</c:v>
                </c:pt>
                <c:pt idx="551">
                  <c:v>4.5762120051547699</c:v>
                </c:pt>
                <c:pt idx="552">
                  <c:v>4.7034094089173104</c:v>
                </c:pt>
                <c:pt idx="553">
                  <c:v>4.6667535083544101</c:v>
                </c:pt>
                <c:pt idx="554">
                  <c:v>4.5966165730063402</c:v>
                </c:pt>
                <c:pt idx="555">
                  <c:v>4.73413375372657</c:v>
                </c:pt>
                <c:pt idx="556">
                  <c:v>4.8162337909225599</c:v>
                </c:pt>
                <c:pt idx="557">
                  <c:v>4.85444318417112</c:v>
                </c:pt>
                <c:pt idx="558">
                  <c:v>4.7939025352409796</c:v>
                </c:pt>
                <c:pt idx="559">
                  <c:v>4.7352617149231699</c:v>
                </c:pt>
                <c:pt idx="560">
                  <c:v>4.7849522352412599</c:v>
                </c:pt>
                <c:pt idx="561">
                  <c:v>4.8547959708801898</c:v>
                </c:pt>
                <c:pt idx="562">
                  <c:v>4.9960347709969097</c:v>
                </c:pt>
                <c:pt idx="563">
                  <c:v>4.9505066876987103</c:v>
                </c:pt>
                <c:pt idx="564">
                  <c:v>4.9534340869821101</c:v>
                </c:pt>
                <c:pt idx="565">
                  <c:v>4.8473474594632702</c:v>
                </c:pt>
                <c:pt idx="566">
                  <c:v>4.9661542575009996</c:v>
                </c:pt>
                <c:pt idx="567">
                  <c:v>5.0097833123498399</c:v>
                </c:pt>
                <c:pt idx="568">
                  <c:v>4.9578552346402596</c:v>
                </c:pt>
                <c:pt idx="569">
                  <c:v>4.94418940546778</c:v>
                </c:pt>
                <c:pt idx="570">
                  <c:v>4.86566125566761</c:v>
                </c:pt>
                <c:pt idx="571">
                  <c:v>4.8598487051071304</c:v>
                </c:pt>
                <c:pt idx="572">
                  <c:v>4.9560563450383999</c:v>
                </c:pt>
                <c:pt idx="573">
                  <c:v>4.7479942349419</c:v>
                </c:pt>
                <c:pt idx="574">
                  <c:v>4.8371528816812104</c:v>
                </c:pt>
                <c:pt idx="575">
                  <c:v>4.8492746116038896</c:v>
                </c:pt>
                <c:pt idx="576">
                  <c:v>4.90161121244165</c:v>
                </c:pt>
                <c:pt idx="577">
                  <c:v>4.8307312050405704</c:v>
                </c:pt>
                <c:pt idx="578">
                  <c:v>4.8348069276877501</c:v>
                </c:pt>
                <c:pt idx="579">
                  <c:v>4.8872504102318102</c:v>
                </c:pt>
                <c:pt idx="580">
                  <c:v>4.7975065601003903</c:v>
                </c:pt>
                <c:pt idx="581">
                  <c:v>4.8840204950374497</c:v>
                </c:pt>
                <c:pt idx="582">
                  <c:v>4.9203099004505804</c:v>
                </c:pt>
                <c:pt idx="583">
                  <c:v>4.9279302359134398</c:v>
                </c:pt>
                <c:pt idx="584">
                  <c:v>4.9615630443273799</c:v>
                </c:pt>
                <c:pt idx="585">
                  <c:v>4.9673412320464196</c:v>
                </c:pt>
                <c:pt idx="586">
                  <c:v>5.0142569311834002</c:v>
                </c:pt>
                <c:pt idx="587">
                  <c:v>5.0414267602149598</c:v>
                </c:pt>
                <c:pt idx="588">
                  <c:v>5.09294551127544</c:v>
                </c:pt>
                <c:pt idx="589">
                  <c:v>5.0557082731068004</c:v>
                </c:pt>
                <c:pt idx="590">
                  <c:v>5.015668595308</c:v>
                </c:pt>
                <c:pt idx="591">
                  <c:v>5.1099383551919804</c:v>
                </c:pt>
                <c:pt idx="592">
                  <c:v>4.98102756887954</c:v>
                </c:pt>
                <c:pt idx="593">
                  <c:v>4.9691236202688804</c:v>
                </c:pt>
                <c:pt idx="594">
                  <c:v>4.9545349927180897</c:v>
                </c:pt>
                <c:pt idx="595">
                  <c:v>5.0425817794682199</c:v>
                </c:pt>
                <c:pt idx="596">
                  <c:v>5.1384075994746397</c:v>
                </c:pt>
                <c:pt idx="597">
                  <c:v>5.1139209979021603</c:v>
                </c:pt>
                <c:pt idx="598">
                  <c:v>5.04831926077361</c:v>
                </c:pt>
                <c:pt idx="599">
                  <c:v>5.2137676262335804</c:v>
                </c:pt>
                <c:pt idx="600">
                  <c:v>5.1878793438281399</c:v>
                </c:pt>
                <c:pt idx="601">
                  <c:v>5.1655272855933996</c:v>
                </c:pt>
                <c:pt idx="602">
                  <c:v>5.0391001647043803</c:v>
                </c:pt>
                <c:pt idx="603">
                  <c:v>5.0080764480841502</c:v>
                </c:pt>
                <c:pt idx="604">
                  <c:v>4.9436687012720704</c:v>
                </c:pt>
                <c:pt idx="605">
                  <c:v>4.9224422185979604</c:v>
                </c:pt>
                <c:pt idx="606">
                  <c:v>4.9086679591912503</c:v>
                </c:pt>
                <c:pt idx="607">
                  <c:v>4.8677943556106396</c:v>
                </c:pt>
                <c:pt idx="608">
                  <c:v>4.86044665721335</c:v>
                </c:pt>
                <c:pt idx="609">
                  <c:v>4.94956031522978</c:v>
                </c:pt>
                <c:pt idx="610">
                  <c:v>4.9084263244634796</c:v>
                </c:pt>
                <c:pt idx="611">
                  <c:v>4.9677009259611102</c:v>
                </c:pt>
                <c:pt idx="612">
                  <c:v>4.9553157902270399</c:v>
                </c:pt>
                <c:pt idx="613">
                  <c:v>4.9525497919548904</c:v>
                </c:pt>
                <c:pt idx="614">
                  <c:v>4.9882557185283103</c:v>
                </c:pt>
                <c:pt idx="615">
                  <c:v>4.9634401551874401</c:v>
                </c:pt>
                <c:pt idx="616">
                  <c:v>4.9769343140860798</c:v>
                </c:pt>
                <c:pt idx="617">
                  <c:v>4.9548483774862797</c:v>
                </c:pt>
                <c:pt idx="618">
                  <c:v>4.8996544710048404</c:v>
                </c:pt>
                <c:pt idx="619">
                  <c:v>4.8767242008006599</c:v>
                </c:pt>
                <c:pt idx="620">
                  <c:v>4.8627471432169997</c:v>
                </c:pt>
                <c:pt idx="621">
                  <c:v>4.8234792384551897</c:v>
                </c:pt>
                <c:pt idx="622">
                  <c:v>4.8000577075695103</c:v>
                </c:pt>
                <c:pt idx="623">
                  <c:v>4.8983967258054903</c:v>
                </c:pt>
                <c:pt idx="624">
                  <c:v>4.8619842879329198</c:v>
                </c:pt>
                <c:pt idx="625">
                  <c:v>4.8096769765888796</c:v>
                </c:pt>
                <c:pt idx="626">
                  <c:v>4.74384329192132</c:v>
                </c:pt>
                <c:pt idx="627">
                  <c:v>4.7625776195969802</c:v>
                </c:pt>
                <c:pt idx="628">
                  <c:v>4.7950148237225898</c:v>
                </c:pt>
                <c:pt idx="629">
                  <c:v>4.7813808275481904</c:v>
                </c:pt>
                <c:pt idx="630">
                  <c:v>4.8267491072365099</c:v>
                </c:pt>
                <c:pt idx="631">
                  <c:v>4.83005480251534</c:v>
                </c:pt>
                <c:pt idx="632">
                  <c:v>4.8370334814604803</c:v>
                </c:pt>
                <c:pt idx="633">
                  <c:v>4.8535333122228996</c:v>
                </c:pt>
                <c:pt idx="634">
                  <c:v>4.8581590440388398</c:v>
                </c:pt>
                <c:pt idx="635">
                  <c:v>4.8972873511995099</c:v>
                </c:pt>
                <c:pt idx="636">
                  <c:v>5.0356480735978799</c:v>
                </c:pt>
                <c:pt idx="637">
                  <c:v>4.9750787069267703</c:v>
                </c:pt>
                <c:pt idx="638">
                  <c:v>4.9511624780786097</c:v>
                </c:pt>
                <c:pt idx="639">
                  <c:v>5.0281960337587401</c:v>
                </c:pt>
                <c:pt idx="640">
                  <c:v>5.0141065314865401</c:v>
                </c:pt>
                <c:pt idx="641">
                  <c:v>5.0138156714730702</c:v>
                </c:pt>
                <c:pt idx="642">
                  <c:v>5.0376102988841103</c:v>
                </c:pt>
                <c:pt idx="643">
                  <c:v>5.0138931327023499</c:v>
                </c:pt>
                <c:pt idx="644">
                  <c:v>5.0938826256029204</c:v>
                </c:pt>
                <c:pt idx="645">
                  <c:v>5.0929631654621197</c:v>
                </c:pt>
                <c:pt idx="646">
                  <c:v>5.1031993867086802</c:v>
                </c:pt>
                <c:pt idx="647">
                  <c:v>5.1682866238943301</c:v>
                </c:pt>
                <c:pt idx="648">
                  <c:v>5.0991010003346204</c:v>
                </c:pt>
                <c:pt idx="649">
                  <c:v>5.04888279904696</c:v>
                </c:pt>
                <c:pt idx="650">
                  <c:v>5.0186046143457297</c:v>
                </c:pt>
                <c:pt idx="651">
                  <c:v>5.0779294245191799</c:v>
                </c:pt>
                <c:pt idx="652">
                  <c:v>5.0779785616210296</c:v>
                </c:pt>
                <c:pt idx="653">
                  <c:v>5.1039949579875099</c:v>
                </c:pt>
                <c:pt idx="654">
                  <c:v>5.0210309281214096</c:v>
                </c:pt>
                <c:pt idx="655">
                  <c:v>4.9871823258372503</c:v>
                </c:pt>
                <c:pt idx="656">
                  <c:v>4.9562538240369403</c:v>
                </c:pt>
                <c:pt idx="657">
                  <c:v>4.9938692736568502</c:v>
                </c:pt>
                <c:pt idx="658">
                  <c:v>4.9944691211051602</c:v>
                </c:pt>
                <c:pt idx="659">
                  <c:v>5.0528647995885896</c:v>
                </c:pt>
                <c:pt idx="660">
                  <c:v>5.0273514202057896</c:v>
                </c:pt>
                <c:pt idx="661">
                  <c:v>5.0437721884768401</c:v>
                </c:pt>
                <c:pt idx="662">
                  <c:v>5.0268723798922998</c:v>
                </c:pt>
                <c:pt idx="663">
                  <c:v>5.09311287493958</c:v>
                </c:pt>
                <c:pt idx="664">
                  <c:v>5.1271110736710996</c:v>
                </c:pt>
                <c:pt idx="665">
                  <c:v>5.1513500562032197</c:v>
                </c:pt>
                <c:pt idx="666">
                  <c:v>5.1236681742693602</c:v>
                </c:pt>
                <c:pt idx="667">
                  <c:v>5.1276136322230199</c:v>
                </c:pt>
                <c:pt idx="668">
                  <c:v>5.1339946746135396</c:v>
                </c:pt>
                <c:pt idx="669">
                  <c:v>5.1317757710991101</c:v>
                </c:pt>
                <c:pt idx="670">
                  <c:v>5.0774628160827904</c:v>
                </c:pt>
                <c:pt idx="671">
                  <c:v>5.0928815159406797</c:v>
                </c:pt>
                <c:pt idx="672">
                  <c:v>5.10545248374879</c:v>
                </c:pt>
                <c:pt idx="673">
                  <c:v>5.1410246305417804</c:v>
                </c:pt>
                <c:pt idx="674">
                  <c:v>5.2067691070027502</c:v>
                </c:pt>
                <c:pt idx="675">
                  <c:v>5.2416325906620402</c:v>
                </c:pt>
                <c:pt idx="676">
                  <c:v>5.15750840151484</c:v>
                </c:pt>
                <c:pt idx="677">
                  <c:v>5.1425130553821896</c:v>
                </c:pt>
                <c:pt idx="678">
                  <c:v>5.17745693825304</c:v>
                </c:pt>
                <c:pt idx="679">
                  <c:v>5.1625985335013</c:v>
                </c:pt>
                <c:pt idx="680">
                  <c:v>5.2493002729396396</c:v>
                </c:pt>
                <c:pt idx="681">
                  <c:v>5.3572243604351204</c:v>
                </c:pt>
                <c:pt idx="682">
                  <c:v>5.3482554349370499</c:v>
                </c:pt>
                <c:pt idx="683">
                  <c:v>5.3881859205518099</c:v>
                </c:pt>
                <c:pt idx="684">
                  <c:v>5.3861296159270502</c:v>
                </c:pt>
                <c:pt idx="685">
                  <c:v>5.2875967598891096</c:v>
                </c:pt>
                <c:pt idx="686">
                  <c:v>5.2074008539157903</c:v>
                </c:pt>
                <c:pt idx="687">
                  <c:v>5.2899458417677998</c:v>
                </c:pt>
                <c:pt idx="688">
                  <c:v>5.19350457971513</c:v>
                </c:pt>
                <c:pt idx="689">
                  <c:v>5.2113326207618798</c:v>
                </c:pt>
                <c:pt idx="690">
                  <c:v>5.3055459206088598</c:v>
                </c:pt>
                <c:pt idx="691">
                  <c:v>5.3612817318750796</c:v>
                </c:pt>
                <c:pt idx="692">
                  <c:v>5.3841987434910701</c:v>
                </c:pt>
                <c:pt idx="693">
                  <c:v>5.4122768844394704</c:v>
                </c:pt>
                <c:pt idx="694">
                  <c:v>5.3806922232448802</c:v>
                </c:pt>
                <c:pt idx="695">
                  <c:v>5.4028076849434798</c:v>
                </c:pt>
                <c:pt idx="696">
                  <c:v>5.4240338362344698</c:v>
                </c:pt>
                <c:pt idx="697">
                  <c:v>5.35395179103699</c:v>
                </c:pt>
                <c:pt idx="698">
                  <c:v>5.4190888349217499</c:v>
                </c:pt>
                <c:pt idx="699">
                  <c:v>5.3676688524346803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F1-A440-86E0-8FD5A1825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090656"/>
        <c:axId val="444351600"/>
      </c:lineChart>
      <c:dateAx>
        <c:axId val="443090656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351600"/>
        <c:crosses val="autoZero"/>
        <c:auto val="0"/>
        <c:lblOffset val="100"/>
        <c:baseTimeUnit val="days"/>
      </c:dateAx>
      <c:valAx>
        <c:axId val="444351600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Yield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9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20</xdr:col>
      <xdr:colOff>0</xdr:colOff>
      <xdr:row>27</xdr:row>
      <xdr:rowOff>0</xdr:rowOff>
    </xdr:to>
    <xdr:graphicFrame macro="">
      <xdr:nvGraphicFramePr>
        <xdr:cNvPr id="3" name="10y spot chart">
          <a:extLst>
            <a:ext uri="{FF2B5EF4-FFF2-40B4-BE49-F238E27FC236}">
              <a16:creationId xmlns:a16="http://schemas.microsoft.com/office/drawing/2014/main" id="{51C7B7EF-EE9B-B60A-BE86-18898C0BC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EF6CC2-43B8-3441-ABE3-BB20F42F596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57c9647-1e09-40a1-9599-721fc146c2f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CD727"/>
  <sheetViews>
    <sheetView showGridLines="0" tabSelected="1" zoomScale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6" sqref="I6"/>
    </sheetView>
  </sheetViews>
  <sheetFormatPr baseColWidth="10" defaultColWidth="8.83203125" defaultRowHeight="15" outlineLevelCol="2" x14ac:dyDescent="0.2"/>
  <cols>
    <col min="2" max="4" width="10" customWidth="1" outlineLevel="2"/>
    <col min="5" max="5" width="12.5" customWidth="1"/>
    <col min="6" max="7" width="20" customWidth="1" outlineLevel="2"/>
    <col min="8" max="8" width="4.1640625" customWidth="1" outlineLevel="2"/>
    <col min="9" max="9" width="28.33203125" customWidth="1" outlineLevel="2"/>
    <col min="10" max="10" width="11.6640625" customWidth="1" outlineLevel="2"/>
    <col min="11" max="20" width="10.6640625" customWidth="1" outlineLevel="2"/>
    <col min="22" max="60" width="0" hidden="1" customWidth="1" outlineLevel="2"/>
    <col min="61" max="61" width="8.83203125" collapsed="1"/>
    <col min="62" max="81" width="0" hidden="1" customWidth="1" outlineLevel="2"/>
    <col min="82" max="82" width="8.83203125" collapsed="1"/>
  </cols>
  <sheetData>
    <row r="1" spans="1:81" ht="18" x14ac:dyDescent="0.2">
      <c r="B1" s="4" t="s">
        <v>2</v>
      </c>
    </row>
    <row r="3" spans="1:81" x14ac:dyDescent="0.2">
      <c r="A3" s="6" t="s">
        <v>0</v>
      </c>
    </row>
    <row r="4" spans="1:81" x14ac:dyDescent="0.2">
      <c r="A4" s="6" t="s">
        <v>1</v>
      </c>
      <c r="B4" s="10">
        <v>2</v>
      </c>
      <c r="C4" s="10">
        <v>10</v>
      </c>
      <c r="D4" s="10">
        <v>30</v>
      </c>
      <c r="E4" s="11" t="s">
        <v>3</v>
      </c>
      <c r="F4" s="11" t="s">
        <v>4</v>
      </c>
      <c r="G4" s="11" t="s">
        <v>5</v>
      </c>
    </row>
    <row r="5" spans="1:81" x14ac:dyDescent="0.2">
      <c r="A5" s="2" t="e">
        <v>#VALUE!</v>
      </c>
      <c r="B5" s="3"/>
    </row>
    <row r="6" spans="1:81" x14ac:dyDescent="0.2">
      <c r="A6" s="8">
        <v>45293</v>
      </c>
      <c r="B6" s="3">
        <v>3.79875413876954</v>
      </c>
      <c r="C6" s="5">
        <v>3.67757899129654</v>
      </c>
      <c r="D6" s="5">
        <v>4.2771485985995499</v>
      </c>
      <c r="E6" s="13">
        <f>(D6-B6)*100</f>
        <v>47.839445983000985</v>
      </c>
      <c r="F6" s="13"/>
      <c r="G6" s="13"/>
    </row>
    <row r="7" spans="1:81" x14ac:dyDescent="0.2">
      <c r="A7" s="8">
        <v>45294</v>
      </c>
      <c r="B7" s="3">
        <v>3.87136479984704</v>
      </c>
      <c r="C7" s="5">
        <v>3.7113626775201398</v>
      </c>
      <c r="D7" s="5">
        <v>4.3442642579006501</v>
      </c>
      <c r="E7" s="13">
        <f t="shared" ref="E7:E70" si="0">(D7-B7)*100</f>
        <v>47.289945805361015</v>
      </c>
      <c r="F7" s="13">
        <f>E7-E6</f>
        <v>-0.54950017763997039</v>
      </c>
      <c r="G7" s="13">
        <f>(C7-C6)*100</f>
        <v>3.378368622359984</v>
      </c>
    </row>
    <row r="8" spans="1:81" x14ac:dyDescent="0.2">
      <c r="A8" s="8">
        <v>45295</v>
      </c>
      <c r="B8" s="3">
        <v>3.92059393324659</v>
      </c>
      <c r="C8" s="5">
        <v>3.74740680055154</v>
      </c>
      <c r="D8" s="5">
        <v>4.3642374895527603</v>
      </c>
      <c r="E8" s="13">
        <f t="shared" si="0"/>
        <v>44.364355630617027</v>
      </c>
      <c r="F8" s="13">
        <f t="shared" ref="F8:F71" si="1">E8-E7</f>
        <v>-2.9255901747439879</v>
      </c>
      <c r="G8" s="13">
        <f t="shared" ref="G8:G71" si="2">(C8-C7)*100</f>
        <v>3.6044123031400144</v>
      </c>
    </row>
    <row r="9" spans="1:81" x14ac:dyDescent="0.2">
      <c r="A9" s="8">
        <v>45296</v>
      </c>
      <c r="B9" s="3">
        <v>3.95733015286199</v>
      </c>
      <c r="C9" s="5">
        <v>3.7868557254814701</v>
      </c>
      <c r="D9" s="5">
        <v>4.3743199717379504</v>
      </c>
      <c r="E9" s="13">
        <f t="shared" si="0"/>
        <v>41.698981887596041</v>
      </c>
      <c r="F9" s="13">
        <f t="shared" si="1"/>
        <v>-2.6653737430209858</v>
      </c>
      <c r="G9" s="13">
        <f t="shared" si="2"/>
        <v>3.9448924929930129</v>
      </c>
    </row>
    <row r="10" spans="1:81" x14ac:dyDescent="0.2">
      <c r="A10" s="8">
        <v>45299</v>
      </c>
      <c r="B10" s="3">
        <v>3.9716328179882101</v>
      </c>
      <c r="C10" s="5">
        <v>3.8078176890998701</v>
      </c>
      <c r="D10" s="5">
        <v>4.4055242344152798</v>
      </c>
      <c r="E10" s="14">
        <f t="shared" si="0"/>
        <v>43.389141642706974</v>
      </c>
      <c r="F10" s="14">
        <f t="shared" si="1"/>
        <v>1.6901597551109333</v>
      </c>
      <c r="G10" s="14">
        <f t="shared" si="2"/>
        <v>2.096196361839997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</row>
    <row r="11" spans="1:81" x14ac:dyDescent="0.2">
      <c r="A11" s="8">
        <v>45300</v>
      </c>
      <c r="B11" s="3">
        <v>3.97715088541017</v>
      </c>
      <c r="C11" s="5">
        <v>3.81688492602825</v>
      </c>
      <c r="D11" s="5">
        <v>4.4123853441743401</v>
      </c>
      <c r="E11" s="14">
        <f t="shared" si="0"/>
        <v>43.523445876417014</v>
      </c>
      <c r="F11" s="14">
        <f t="shared" si="1"/>
        <v>0.13430423371003997</v>
      </c>
      <c r="G11" s="14">
        <f t="shared" si="2"/>
        <v>0.90672369283799625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</row>
    <row r="12" spans="1:81" x14ac:dyDescent="0.2">
      <c r="A12" s="8">
        <v>45301</v>
      </c>
      <c r="B12" s="3">
        <v>3.9670565486725899</v>
      </c>
      <c r="C12" s="5">
        <v>3.83740623790775</v>
      </c>
      <c r="D12" s="5">
        <v>4.41663245886184</v>
      </c>
      <c r="E12" s="14">
        <f t="shared" si="0"/>
        <v>44.957591018925001</v>
      </c>
      <c r="F12" s="14">
        <f t="shared" si="1"/>
        <v>1.4341451425079867</v>
      </c>
      <c r="G12" s="14">
        <f t="shared" si="2"/>
        <v>2.0521311879500015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</row>
    <row r="13" spans="1:81" x14ac:dyDescent="0.2">
      <c r="A13" s="8">
        <v>45302</v>
      </c>
      <c r="B13" s="3">
        <v>3.9921029695936001</v>
      </c>
      <c r="C13" s="5">
        <v>3.8790979597342701</v>
      </c>
      <c r="D13" s="5">
        <v>4.4548092257027898</v>
      </c>
      <c r="E13" s="14">
        <f t="shared" si="0"/>
        <v>46.27062561091897</v>
      </c>
      <c r="F13" s="14">
        <f t="shared" si="1"/>
        <v>1.3130345919939685</v>
      </c>
      <c r="G13" s="14">
        <f t="shared" si="2"/>
        <v>4.1691721826520034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</row>
    <row r="14" spans="1:81" x14ac:dyDescent="0.2">
      <c r="A14" s="8">
        <v>45303</v>
      </c>
      <c r="B14" s="3">
        <v>3.91043634179269</v>
      </c>
      <c r="C14" s="5">
        <v>3.8448416391893701</v>
      </c>
      <c r="D14" s="5">
        <v>4.4558898777165199</v>
      </c>
      <c r="E14" s="14">
        <f t="shared" si="0"/>
        <v>54.545353592382995</v>
      </c>
      <c r="F14" s="14">
        <f t="shared" si="1"/>
        <v>8.2747279814640251</v>
      </c>
      <c r="G14" s="14">
        <f t="shared" si="2"/>
        <v>-3.4256320544900021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</row>
    <row r="15" spans="1:81" x14ac:dyDescent="0.2">
      <c r="A15" s="8">
        <v>45306</v>
      </c>
      <c r="B15" s="3">
        <v>3.9150157618704999</v>
      </c>
      <c r="C15" s="5">
        <v>3.8474977866006301</v>
      </c>
      <c r="D15" s="5">
        <v>4.4784169759428698</v>
      </c>
      <c r="E15" s="14">
        <f t="shared" si="0"/>
        <v>56.340121407236985</v>
      </c>
      <c r="F15" s="14">
        <f t="shared" si="1"/>
        <v>1.7947678148539907</v>
      </c>
      <c r="G15" s="14">
        <f t="shared" si="2"/>
        <v>0.26561474112600791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</row>
    <row r="16" spans="1:81" x14ac:dyDescent="0.2">
      <c r="A16" s="8">
        <v>45307</v>
      </c>
      <c r="B16" s="3">
        <v>3.9226812287345001</v>
      </c>
      <c r="C16" s="5">
        <v>3.8556450476897601</v>
      </c>
      <c r="D16" s="5">
        <v>4.5296208296353697</v>
      </c>
      <c r="E16" s="14">
        <f t="shared" si="0"/>
        <v>60.693960090086961</v>
      </c>
      <c r="F16" s="14">
        <f t="shared" si="1"/>
        <v>4.3538386828499753</v>
      </c>
      <c r="G16" s="14">
        <f t="shared" si="2"/>
        <v>0.81472610891299979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</row>
    <row r="17" spans="1:81" x14ac:dyDescent="0.2">
      <c r="A17" s="8">
        <v>45308</v>
      </c>
      <c r="B17" s="3">
        <v>4.1204896369574202</v>
      </c>
      <c r="C17" s="5">
        <v>4.0094644672277404</v>
      </c>
      <c r="D17" s="5">
        <v>4.6386486959311704</v>
      </c>
      <c r="E17" s="14">
        <f t="shared" si="0"/>
        <v>51.815905897375018</v>
      </c>
      <c r="F17" s="14">
        <f t="shared" si="1"/>
        <v>-8.878054192711943</v>
      </c>
      <c r="G17" s="14">
        <f t="shared" si="2"/>
        <v>15.381941953798028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</row>
    <row r="18" spans="1:81" x14ac:dyDescent="0.2">
      <c r="A18" s="8">
        <v>45309</v>
      </c>
      <c r="B18" s="3">
        <v>4.0678456984127198</v>
      </c>
      <c r="C18" s="5">
        <v>3.9775401950061902</v>
      </c>
      <c r="D18" s="5">
        <v>4.6176634832949404</v>
      </c>
      <c r="E18" s="14">
        <f t="shared" si="0"/>
        <v>54.981778488222055</v>
      </c>
      <c r="F18" s="14">
        <f t="shared" si="1"/>
        <v>3.1658725908470373</v>
      </c>
      <c r="G18" s="14">
        <f t="shared" si="2"/>
        <v>-3.1924272221550254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</row>
    <row r="19" spans="1:81" x14ac:dyDescent="0.2">
      <c r="A19" s="8">
        <v>45310</v>
      </c>
      <c r="B19" s="3">
        <v>4.0621877947853298</v>
      </c>
      <c r="C19" s="5">
        <v>3.96127859711549</v>
      </c>
      <c r="D19" s="5">
        <v>4.5755684540570796</v>
      </c>
      <c r="E19" s="14">
        <f t="shared" si="0"/>
        <v>51.338065927174981</v>
      </c>
      <c r="F19" s="14">
        <f t="shared" si="1"/>
        <v>-3.6437125610470744</v>
      </c>
      <c r="G19" s="14">
        <f t="shared" si="2"/>
        <v>-1.6261597890700141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</row>
    <row r="20" spans="1:81" x14ac:dyDescent="0.2">
      <c r="A20" s="8">
        <v>45313</v>
      </c>
      <c r="B20" s="3">
        <v>4.0634931022096001</v>
      </c>
      <c r="C20" s="5">
        <v>3.9276822737091401</v>
      </c>
      <c r="D20" s="5">
        <v>4.5264174772347996</v>
      </c>
      <c r="E20" s="14">
        <f t="shared" si="0"/>
        <v>46.292437502519945</v>
      </c>
      <c r="F20" s="14">
        <f t="shared" si="1"/>
        <v>-5.0456284246550354</v>
      </c>
      <c r="G20" s="14">
        <f t="shared" si="2"/>
        <v>-3.3596323406349882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</row>
    <row r="21" spans="1:81" x14ac:dyDescent="0.2">
      <c r="A21" s="8">
        <v>45314</v>
      </c>
      <c r="B21" s="3">
        <v>4.15136418380989</v>
      </c>
      <c r="C21" s="5">
        <v>4.01450134413966</v>
      </c>
      <c r="D21" s="5">
        <v>4.5878550210059199</v>
      </c>
      <c r="E21" s="14">
        <f t="shared" si="0"/>
        <v>43.649083719602984</v>
      </c>
      <c r="F21" s="14">
        <f t="shared" si="1"/>
        <v>-2.6433537829169609</v>
      </c>
      <c r="G21" s="14">
        <f t="shared" si="2"/>
        <v>8.681907043051984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</row>
    <row r="22" spans="1:81" x14ac:dyDescent="0.2">
      <c r="A22" s="8">
        <v>45315</v>
      </c>
      <c r="B22" s="3">
        <v>4.1843019442332698</v>
      </c>
      <c r="C22" s="5">
        <v>4.0386809325783704</v>
      </c>
      <c r="D22" s="5">
        <v>4.6140592904478899</v>
      </c>
      <c r="E22" s="14">
        <f t="shared" si="0"/>
        <v>42.975734621462003</v>
      </c>
      <c r="F22" s="14">
        <f t="shared" si="1"/>
        <v>-0.67334909814098154</v>
      </c>
      <c r="G22" s="14">
        <f t="shared" si="2"/>
        <v>2.4179588438710375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</row>
    <row r="23" spans="1:81" x14ac:dyDescent="0.2">
      <c r="A23" s="8">
        <v>45316</v>
      </c>
      <c r="B23" s="3">
        <v>4.1458407355828397</v>
      </c>
      <c r="C23" s="5">
        <v>4.0114608614609297</v>
      </c>
      <c r="D23" s="5">
        <v>4.5984168091849904</v>
      </c>
      <c r="E23" s="14">
        <f t="shared" si="0"/>
        <v>45.257607360215069</v>
      </c>
      <c r="F23" s="14">
        <f t="shared" si="1"/>
        <v>2.2818727387530657</v>
      </c>
      <c r="G23" s="14">
        <f t="shared" si="2"/>
        <v>-2.7220071117440625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</row>
    <row r="24" spans="1:81" x14ac:dyDescent="0.2">
      <c r="A24" s="8">
        <v>45317</v>
      </c>
      <c r="B24" s="3">
        <v>4.1241171102745398</v>
      </c>
      <c r="C24" s="5">
        <v>4.0169133456150403</v>
      </c>
      <c r="D24" s="5">
        <v>4.6169451732863598</v>
      </c>
      <c r="E24" s="14">
        <f t="shared" si="0"/>
        <v>49.282806301182006</v>
      </c>
      <c r="F24" s="14">
        <f t="shared" si="1"/>
        <v>4.0251989409669378</v>
      </c>
      <c r="G24" s="14">
        <f t="shared" si="2"/>
        <v>0.54524841541105928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</row>
    <row r="25" spans="1:81" x14ac:dyDescent="0.2">
      <c r="A25" s="8">
        <v>45320</v>
      </c>
      <c r="B25" s="3">
        <v>4.0733128751022498</v>
      </c>
      <c r="C25" s="5">
        <v>3.9479747330423902</v>
      </c>
      <c r="D25" s="5">
        <v>4.5563386158141403</v>
      </c>
      <c r="E25" s="14">
        <f t="shared" si="0"/>
        <v>48.302574071189056</v>
      </c>
      <c r="F25" s="14">
        <f t="shared" si="1"/>
        <v>-0.98023222999295001</v>
      </c>
      <c r="G25" s="14">
        <f t="shared" si="2"/>
        <v>-6.8938612572650104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</row>
    <row r="26" spans="1:81" x14ac:dyDescent="0.2">
      <c r="A26" s="8">
        <v>45321</v>
      </c>
      <c r="B26" s="3">
        <v>4.1229740363427902</v>
      </c>
      <c r="C26" s="5">
        <v>3.9554598590299599</v>
      </c>
      <c r="D26" s="5">
        <v>4.5552107458067104</v>
      </c>
      <c r="E26" s="14">
        <f t="shared" si="0"/>
        <v>43.223670946392012</v>
      </c>
      <c r="F26" s="14">
        <f t="shared" si="1"/>
        <v>-5.0789031247970442</v>
      </c>
      <c r="G26" s="14">
        <f t="shared" si="2"/>
        <v>0.74851259875696741</v>
      </c>
      <c r="H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</row>
    <row r="27" spans="1:81" x14ac:dyDescent="0.2">
      <c r="A27" s="8">
        <v>45322</v>
      </c>
      <c r="B27" s="3">
        <v>3.9926454407743801</v>
      </c>
      <c r="C27" s="5">
        <v>3.8426831737039699</v>
      </c>
      <c r="D27" s="5">
        <v>4.4877782616434398</v>
      </c>
      <c r="E27" s="14">
        <f t="shared" si="0"/>
        <v>49.513282086905974</v>
      </c>
      <c r="F27" s="14">
        <f t="shared" si="1"/>
        <v>6.2896111405139621</v>
      </c>
      <c r="G27" s="14">
        <f t="shared" si="2"/>
        <v>-11.277668532598994</v>
      </c>
      <c r="H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</row>
    <row r="28" spans="1:81" x14ac:dyDescent="0.2">
      <c r="A28" s="8">
        <v>45323</v>
      </c>
      <c r="B28" s="3">
        <v>3.9628490987677201</v>
      </c>
      <c r="C28" s="5">
        <v>3.7827698871912001</v>
      </c>
      <c r="D28" s="5">
        <v>4.43586921847408</v>
      </c>
      <c r="E28" s="14">
        <f t="shared" si="0"/>
        <v>47.302011970635995</v>
      </c>
      <c r="F28" s="14">
        <f t="shared" si="1"/>
        <v>-2.2112701162699793</v>
      </c>
      <c r="G28" s="14">
        <f t="shared" si="2"/>
        <v>-5.9913286512769837</v>
      </c>
      <c r="H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</row>
    <row r="29" spans="1:81" x14ac:dyDescent="0.2">
      <c r="A29" s="8">
        <v>45324</v>
      </c>
      <c r="B29" s="5">
        <v>4.16595025987721</v>
      </c>
      <c r="C29" s="5">
        <v>3.95138274602194</v>
      </c>
      <c r="D29" s="5">
        <v>4.5629356219809498</v>
      </c>
      <c r="E29" s="14">
        <f t="shared" si="0"/>
        <v>39.69853621037398</v>
      </c>
      <c r="F29" s="14">
        <f t="shared" si="1"/>
        <v>-7.6034757602620147</v>
      </c>
      <c r="G29" s="14">
        <f t="shared" si="2"/>
        <v>16.861285883073982</v>
      </c>
      <c r="H29" s="5"/>
      <c r="I29" s="16" t="s">
        <v>6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</row>
    <row r="30" spans="1:81" x14ac:dyDescent="0.2">
      <c r="A30" s="8">
        <v>45327</v>
      </c>
      <c r="B30" s="5">
        <v>4.2784194338236796</v>
      </c>
      <c r="C30" s="5">
        <v>4.0681334584612401</v>
      </c>
      <c r="D30" s="5">
        <v>4.6582699275121398</v>
      </c>
      <c r="E30" s="14">
        <f t="shared" si="0"/>
        <v>37.985049368846013</v>
      </c>
      <c r="F30" s="14">
        <f t="shared" si="1"/>
        <v>-1.7134868415279669</v>
      </c>
      <c r="G30" s="14">
        <f t="shared" si="2"/>
        <v>11.675071243930013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</row>
    <row r="31" spans="1:81" x14ac:dyDescent="0.2">
      <c r="A31" s="8">
        <v>45328</v>
      </c>
      <c r="B31" s="5">
        <v>4.1995291560941199</v>
      </c>
      <c r="C31" s="5">
        <v>3.9770304683110198</v>
      </c>
      <c r="D31" s="5">
        <v>4.56490148330629</v>
      </c>
      <c r="E31" s="14">
        <f t="shared" si="0"/>
        <v>36.537232721217009</v>
      </c>
      <c r="F31" s="14">
        <f t="shared" si="1"/>
        <v>-1.4478166476290042</v>
      </c>
      <c r="G31" s="14">
        <f t="shared" si="2"/>
        <v>-9.1102990150220275</v>
      </c>
      <c r="H31" s="5"/>
      <c r="I31" s="5" t="s">
        <v>7</v>
      </c>
      <c r="J31" s="5">
        <f>INDEX($C$6:$C$705,MATCH(DATE(2026,9,1),$A$6:$A$705,0))</f>
        <v>5.2067691070027502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</row>
    <row r="32" spans="1:81" x14ac:dyDescent="0.2">
      <c r="A32" s="8">
        <v>45329</v>
      </c>
      <c r="B32" s="5">
        <v>4.1947242926018697</v>
      </c>
      <c r="C32" s="5">
        <v>3.9956824697775901</v>
      </c>
      <c r="D32" s="5">
        <v>4.5596712470981604</v>
      </c>
      <c r="E32" s="14">
        <f t="shared" si="0"/>
        <v>36.494695449629063</v>
      </c>
      <c r="F32" s="14">
        <f t="shared" si="1"/>
        <v>-4.2537271587946179E-2</v>
      </c>
      <c r="G32" s="14">
        <f t="shared" si="2"/>
        <v>1.8652001466570312</v>
      </c>
      <c r="H32" s="5"/>
      <c r="I32" s="5" t="s">
        <v>8</v>
      </c>
      <c r="J32" s="5">
        <f>INDEX($C$6:$C$705,MATCH(DATE(2026,9,2),$A$6:$A$705,0))</f>
        <v>5.2416325906620402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</row>
    <row r="33" spans="1:81" x14ac:dyDescent="0.2">
      <c r="A33" s="8">
        <v>45330</v>
      </c>
      <c r="B33" s="5">
        <v>4.2787750933585</v>
      </c>
      <c r="C33" s="5">
        <v>4.0708771592529596</v>
      </c>
      <c r="D33" s="5">
        <v>4.6124427150793101</v>
      </c>
      <c r="E33" s="14">
        <f t="shared" si="0"/>
        <v>33.36676217208101</v>
      </c>
      <c r="F33" s="14">
        <f t="shared" si="1"/>
        <v>-3.1279332775480526</v>
      </c>
      <c r="G33" s="14">
        <f t="shared" si="2"/>
        <v>7.5194689475369447</v>
      </c>
      <c r="H33" s="5"/>
      <c r="I33" s="5" t="s">
        <v>9</v>
      </c>
      <c r="J33" s="17">
        <v>5.21</v>
      </c>
      <c r="K33" s="5" t="s">
        <v>11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</row>
    <row r="34" spans="1:81" x14ac:dyDescent="0.2">
      <c r="A34" s="8">
        <v>45331</v>
      </c>
      <c r="B34" s="5">
        <v>4.3389852570392797</v>
      </c>
      <c r="C34" s="5">
        <v>4.1113691203374403</v>
      </c>
      <c r="D34" s="5">
        <v>4.6165094613862001</v>
      </c>
      <c r="E34" s="14">
        <f t="shared" si="0"/>
        <v>27.752420434692038</v>
      </c>
      <c r="F34" s="14">
        <f t="shared" si="1"/>
        <v>-5.6143417373889726</v>
      </c>
      <c r="G34" s="14">
        <f t="shared" si="2"/>
        <v>4.0491961084480721</v>
      </c>
      <c r="H34" s="5"/>
      <c r="I34" s="5" t="s">
        <v>10</v>
      </c>
      <c r="J34" s="12">
        <f>(J31-J33)*100</f>
        <v>-0.3230892997249768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</row>
    <row r="35" spans="1:81" x14ac:dyDescent="0.2">
      <c r="A35" s="8">
        <v>45334</v>
      </c>
      <c r="B35" s="5">
        <v>4.30345414991646</v>
      </c>
      <c r="C35" s="5">
        <v>4.0941109465896997</v>
      </c>
      <c r="D35" s="5">
        <v>4.5964580320951001</v>
      </c>
      <c r="E35" s="14">
        <f t="shared" si="0"/>
        <v>29.300388217864004</v>
      </c>
      <c r="F35" s="14">
        <f t="shared" si="1"/>
        <v>1.5479677831719663</v>
      </c>
      <c r="G35" s="14">
        <f t="shared" si="2"/>
        <v>-1.7258173747740635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</row>
    <row r="36" spans="1:81" x14ac:dyDescent="0.2">
      <c r="A36" s="8">
        <v>45335</v>
      </c>
      <c r="B36" s="5">
        <v>4.4144778750172904</v>
      </c>
      <c r="C36" s="5">
        <v>4.1564585150672197</v>
      </c>
      <c r="D36" s="5">
        <v>4.6281109097358701</v>
      </c>
      <c r="E36" s="14">
        <f t="shared" si="0"/>
        <v>21.363303471857975</v>
      </c>
      <c r="F36" s="14">
        <f t="shared" si="1"/>
        <v>-7.937084746006029</v>
      </c>
      <c r="G36" s="14">
        <f t="shared" si="2"/>
        <v>6.2347568477520099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</row>
    <row r="37" spans="1:81" x14ac:dyDescent="0.2">
      <c r="A37" s="8">
        <v>45336</v>
      </c>
      <c r="B37" s="5">
        <v>4.3152211654558599</v>
      </c>
      <c r="C37" s="5">
        <v>4.0804699717213602</v>
      </c>
      <c r="D37" s="5">
        <v>4.5842722043659796</v>
      </c>
      <c r="E37" s="14">
        <f t="shared" si="0"/>
        <v>26.905103891011972</v>
      </c>
      <c r="F37" s="14">
        <f t="shared" si="1"/>
        <v>5.5418004191539971</v>
      </c>
      <c r="G37" s="14">
        <f t="shared" si="2"/>
        <v>-7.5988543345859583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</row>
    <row r="38" spans="1:81" x14ac:dyDescent="0.2">
      <c r="A38" s="8">
        <v>45337</v>
      </c>
      <c r="B38" s="5">
        <v>4.3022450315352598</v>
      </c>
      <c r="C38" s="5">
        <v>4.0715079898636697</v>
      </c>
      <c r="D38" s="5">
        <v>4.6018175838153201</v>
      </c>
      <c r="E38" s="14">
        <f t="shared" si="0"/>
        <v>29.95725522800603</v>
      </c>
      <c r="F38" s="14">
        <f t="shared" si="1"/>
        <v>3.0521513369940578</v>
      </c>
      <c r="G38" s="14">
        <f t="shared" si="2"/>
        <v>-0.89619818576904819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</row>
    <row r="39" spans="1:81" x14ac:dyDescent="0.2">
      <c r="A39" s="8">
        <v>45338</v>
      </c>
      <c r="B39" s="5">
        <v>4.3625612814658004</v>
      </c>
      <c r="C39" s="5">
        <v>4.1269789793516303</v>
      </c>
      <c r="D39" s="5">
        <v>4.6430361460966703</v>
      </c>
      <c r="E39" s="14">
        <f t="shared" si="0"/>
        <v>28.04748646308699</v>
      </c>
      <c r="F39" s="14">
        <f t="shared" si="1"/>
        <v>-1.9097687649190398</v>
      </c>
      <c r="G39" s="14">
        <f t="shared" si="2"/>
        <v>5.5470989487960587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</row>
    <row r="40" spans="1:81" x14ac:dyDescent="0.2">
      <c r="A40" s="8">
        <v>45341</v>
      </c>
      <c r="B40" s="5">
        <v>4.3613589128830901</v>
      </c>
      <c r="C40" s="5">
        <v>4.13474104160741</v>
      </c>
      <c r="D40" s="5">
        <v>4.6393610753180203</v>
      </c>
      <c r="E40" s="14">
        <f t="shared" si="0"/>
        <v>27.800216243493026</v>
      </c>
      <c r="F40" s="14">
        <f t="shared" si="1"/>
        <v>-0.24727021959396467</v>
      </c>
      <c r="G40" s="14">
        <f t="shared" si="2"/>
        <v>0.77620622557796892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</row>
    <row r="41" spans="1:81" x14ac:dyDescent="0.2">
      <c r="A41" s="8">
        <v>45342</v>
      </c>
      <c r="B41" s="5">
        <v>4.2926243253733301</v>
      </c>
      <c r="C41" s="5">
        <v>4.0750543193534998</v>
      </c>
      <c r="D41" s="5">
        <v>4.6019200638838997</v>
      </c>
      <c r="E41" s="14">
        <f t="shared" si="0"/>
        <v>30.929573851056968</v>
      </c>
      <c r="F41" s="14">
        <f t="shared" si="1"/>
        <v>3.1293576075639429</v>
      </c>
      <c r="G41" s="14">
        <f t="shared" si="2"/>
        <v>-5.9686722253910141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</row>
    <row r="42" spans="1:81" x14ac:dyDescent="0.2">
      <c r="A42" s="8">
        <v>45343</v>
      </c>
      <c r="B42" s="5">
        <v>4.3392780349649698</v>
      </c>
      <c r="C42" s="5">
        <v>4.1104367743057404</v>
      </c>
      <c r="D42" s="5">
        <v>4.6162465884912001</v>
      </c>
      <c r="E42" s="14">
        <f t="shared" si="0"/>
        <v>27.696855352623029</v>
      </c>
      <c r="F42" s="14">
        <f t="shared" si="1"/>
        <v>-3.2327184984339397</v>
      </c>
      <c r="G42" s="14">
        <f t="shared" si="2"/>
        <v>3.5382454952240572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</row>
    <row r="43" spans="1:81" x14ac:dyDescent="0.2">
      <c r="A43" s="8">
        <v>45344</v>
      </c>
      <c r="B43" s="5">
        <v>4.3258221320788204</v>
      </c>
      <c r="C43" s="5">
        <v>4.1091676844552998</v>
      </c>
      <c r="D43" s="5">
        <v>4.6133877183973402</v>
      </c>
      <c r="E43" s="14">
        <f t="shared" si="0"/>
        <v>28.756558631851981</v>
      </c>
      <c r="F43" s="14">
        <f t="shared" si="1"/>
        <v>1.0597032792289518</v>
      </c>
      <c r="G43" s="14">
        <f t="shared" si="2"/>
        <v>-0.12690898504406078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</row>
    <row r="44" spans="1:81" x14ac:dyDescent="0.2">
      <c r="A44" s="8">
        <v>45345</v>
      </c>
      <c r="B44" s="5">
        <v>4.2803866186986301</v>
      </c>
      <c r="C44" s="5">
        <v>4.0713864333504102</v>
      </c>
      <c r="D44" s="5">
        <v>4.6104020086858899</v>
      </c>
      <c r="E44" s="14">
        <f t="shared" si="0"/>
        <v>33.001538998725977</v>
      </c>
      <c r="F44" s="14">
        <f t="shared" si="1"/>
        <v>4.244980366873996</v>
      </c>
      <c r="G44" s="14">
        <f t="shared" si="2"/>
        <v>-3.7781251104889613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</row>
    <row r="45" spans="1:81" x14ac:dyDescent="0.2">
      <c r="A45" s="8">
        <v>45348</v>
      </c>
      <c r="B45" s="5">
        <v>4.3168346857271498</v>
      </c>
      <c r="C45" s="5">
        <v>4.0935469074319499</v>
      </c>
      <c r="D45" s="5">
        <v>4.6139597583851497</v>
      </c>
      <c r="E45" s="14">
        <f t="shared" si="0"/>
        <v>29.712507265799992</v>
      </c>
      <c r="F45" s="14">
        <f t="shared" si="1"/>
        <v>-3.2890317329259844</v>
      </c>
      <c r="G45" s="14">
        <f t="shared" si="2"/>
        <v>2.2160474081539761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</row>
    <row r="46" spans="1:81" x14ac:dyDescent="0.2">
      <c r="A46" s="8">
        <v>45349</v>
      </c>
      <c r="B46" s="5">
        <v>4.3611777750968201</v>
      </c>
      <c r="C46" s="5">
        <v>4.1329043449441096</v>
      </c>
      <c r="D46" s="5">
        <v>4.6438297942815598</v>
      </c>
      <c r="E46" s="14">
        <f t="shared" si="0"/>
        <v>28.26520191847397</v>
      </c>
      <c r="F46" s="14">
        <f t="shared" si="1"/>
        <v>-1.4473053473260222</v>
      </c>
      <c r="G46" s="14">
        <f t="shared" si="2"/>
        <v>3.9357437512159699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</row>
    <row r="47" spans="1:81" x14ac:dyDescent="0.2">
      <c r="A47" s="8">
        <v>45350</v>
      </c>
      <c r="B47" s="5">
        <v>4.3781063585713502</v>
      </c>
      <c r="C47" s="5">
        <v>4.1355669550906304</v>
      </c>
      <c r="D47" s="5">
        <v>4.6421442011240801</v>
      </c>
      <c r="E47" s="14">
        <f t="shared" si="0"/>
        <v>26.403784255272988</v>
      </c>
      <c r="F47" s="14">
        <f t="shared" si="1"/>
        <v>-1.8614176632009816</v>
      </c>
      <c r="G47" s="14">
        <f t="shared" si="2"/>
        <v>0.26626101465208052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</row>
    <row r="48" spans="1:81" x14ac:dyDescent="0.2">
      <c r="A48" s="8">
        <v>45351</v>
      </c>
      <c r="B48" s="5">
        <v>4.3247018850132504</v>
      </c>
      <c r="C48" s="5">
        <v>4.0734692232342899</v>
      </c>
      <c r="D48" s="5">
        <v>4.5479967412532298</v>
      </c>
      <c r="E48" s="14">
        <f t="shared" si="0"/>
        <v>22.329485623997947</v>
      </c>
      <c r="F48" s="14">
        <f t="shared" si="1"/>
        <v>-4.0742986312750418</v>
      </c>
      <c r="G48" s="14">
        <f t="shared" si="2"/>
        <v>-6.2097731856340488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</row>
    <row r="49" spans="1:81" x14ac:dyDescent="0.2">
      <c r="A49" s="8">
        <v>45352</v>
      </c>
      <c r="B49" s="5">
        <v>4.3036757774044503</v>
      </c>
      <c r="C49" s="5">
        <v>4.05254893453621</v>
      </c>
      <c r="D49" s="5">
        <v>4.5196255702514998</v>
      </c>
      <c r="E49" s="14">
        <f t="shared" si="0"/>
        <v>21.594979284704952</v>
      </c>
      <c r="F49" s="14">
        <f t="shared" si="1"/>
        <v>-0.73450633929299514</v>
      </c>
      <c r="G49" s="14">
        <f t="shared" si="2"/>
        <v>-2.0920288698079936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</row>
    <row r="50" spans="1:81" x14ac:dyDescent="0.2">
      <c r="A50" s="8">
        <v>45355</v>
      </c>
      <c r="B50" s="5">
        <v>4.3604229401024801</v>
      </c>
      <c r="C50" s="5">
        <v>4.0827633337162599</v>
      </c>
      <c r="D50" s="5">
        <v>4.5377127770395598</v>
      </c>
      <c r="E50" s="14">
        <f t="shared" si="0"/>
        <v>17.728983693707967</v>
      </c>
      <c r="F50" s="14">
        <f t="shared" si="1"/>
        <v>-3.8659955909969845</v>
      </c>
      <c r="G50" s="14">
        <f t="shared" si="2"/>
        <v>3.0214399180049867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</row>
    <row r="51" spans="1:81" x14ac:dyDescent="0.2">
      <c r="A51" s="8">
        <v>45356</v>
      </c>
      <c r="B51" s="5">
        <v>4.3119559748229204</v>
      </c>
      <c r="C51" s="5">
        <v>3.9553255018409699</v>
      </c>
      <c r="D51" s="5">
        <v>4.42631625400651</v>
      </c>
      <c r="E51" s="14">
        <f t="shared" si="0"/>
        <v>11.43602791835896</v>
      </c>
      <c r="F51" s="14">
        <f t="shared" si="1"/>
        <v>-6.2929557753490073</v>
      </c>
      <c r="G51" s="14">
        <f t="shared" si="2"/>
        <v>-12.743783187529001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</row>
    <row r="52" spans="1:81" x14ac:dyDescent="0.2">
      <c r="A52" s="8">
        <v>45357</v>
      </c>
      <c r="B52" s="5">
        <v>4.2972171850910401</v>
      </c>
      <c r="C52" s="5">
        <v>3.9585278637855299</v>
      </c>
      <c r="D52" s="5">
        <v>4.4206615268321103</v>
      </c>
      <c r="E52" s="14">
        <f t="shared" si="0"/>
        <v>12.344434174107022</v>
      </c>
      <c r="F52" s="14">
        <f t="shared" si="1"/>
        <v>0.90840625574806211</v>
      </c>
      <c r="G52" s="14">
        <f t="shared" si="2"/>
        <v>0.32023619445600282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</row>
    <row r="53" spans="1:81" x14ac:dyDescent="0.2">
      <c r="A53" s="8">
        <v>45358</v>
      </c>
      <c r="B53" s="5">
        <v>4.3286806922120702</v>
      </c>
      <c r="C53" s="5">
        <v>3.9555340691319301</v>
      </c>
      <c r="D53" s="5">
        <v>4.3815129911541302</v>
      </c>
      <c r="E53" s="14">
        <f t="shared" si="0"/>
        <v>5.2832298942059985</v>
      </c>
      <c r="F53" s="14">
        <f t="shared" si="1"/>
        <v>-7.0612042799010233</v>
      </c>
      <c r="G53" s="14">
        <f t="shared" si="2"/>
        <v>-0.2993794653599835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</row>
    <row r="54" spans="1:81" x14ac:dyDescent="0.2">
      <c r="A54" s="8">
        <v>45359</v>
      </c>
      <c r="B54" s="5">
        <v>4.28510823763673</v>
      </c>
      <c r="C54" s="5">
        <v>3.9338576985435698</v>
      </c>
      <c r="D54" s="5">
        <v>4.3954479597915102</v>
      </c>
      <c r="E54" s="14">
        <f t="shared" si="0"/>
        <v>11.033972215478016</v>
      </c>
      <c r="F54" s="14">
        <f t="shared" si="1"/>
        <v>5.7507423212720177</v>
      </c>
      <c r="G54" s="14">
        <f t="shared" si="2"/>
        <v>-2.167637058836025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</row>
    <row r="55" spans="1:81" x14ac:dyDescent="0.2">
      <c r="A55" s="8">
        <v>45362</v>
      </c>
      <c r="B55" s="5">
        <v>4.25445219717834</v>
      </c>
      <c r="C55" s="5">
        <v>3.9232963350363699</v>
      </c>
      <c r="D55" s="5">
        <v>4.3926827753191997</v>
      </c>
      <c r="E55" s="14">
        <f t="shared" si="0"/>
        <v>13.823057814085971</v>
      </c>
      <c r="F55" s="14">
        <f t="shared" si="1"/>
        <v>2.7890855986079544</v>
      </c>
      <c r="G55" s="14">
        <f t="shared" si="2"/>
        <v>-1.0561363507199939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</row>
    <row r="56" spans="1:81" x14ac:dyDescent="0.2">
      <c r="A56" s="8">
        <v>45363</v>
      </c>
      <c r="B56" s="5">
        <v>4.2266892233657103</v>
      </c>
      <c r="C56" s="5">
        <v>3.9009307655923799</v>
      </c>
      <c r="D56" s="5">
        <v>4.3926558346059696</v>
      </c>
      <c r="E56" s="14">
        <f t="shared" si="0"/>
        <v>16.596661124025935</v>
      </c>
      <c r="F56" s="14">
        <f t="shared" si="1"/>
        <v>2.7736033099399648</v>
      </c>
      <c r="G56" s="14">
        <f t="shared" si="2"/>
        <v>-2.236556944398993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</row>
    <row r="57" spans="1:81" x14ac:dyDescent="0.2">
      <c r="A57" s="8">
        <v>45364</v>
      </c>
      <c r="B57" s="5">
        <v>4.2711757350807096</v>
      </c>
      <c r="C57" s="5">
        <v>3.9656814507267599</v>
      </c>
      <c r="D57" s="5">
        <v>4.4465574067940796</v>
      </c>
      <c r="E57" s="14">
        <f t="shared" si="0"/>
        <v>17.538167171337005</v>
      </c>
      <c r="F57" s="14">
        <f t="shared" si="1"/>
        <v>0.94150604731106924</v>
      </c>
      <c r="G57" s="14">
        <f t="shared" si="2"/>
        <v>6.4750685134379982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</row>
    <row r="58" spans="1:81" x14ac:dyDescent="0.2">
      <c r="A58" s="8">
        <v>45365</v>
      </c>
      <c r="B58" s="5">
        <v>4.3122337065084304</v>
      </c>
      <c r="C58" s="5">
        <v>4.0387591738297397</v>
      </c>
      <c r="D58" s="5">
        <v>4.5055480649136301</v>
      </c>
      <c r="E58" s="14">
        <f t="shared" si="0"/>
        <v>19.331435840519973</v>
      </c>
      <c r="F58" s="14">
        <f t="shared" si="1"/>
        <v>1.793268669182968</v>
      </c>
      <c r="G58" s="14">
        <f t="shared" si="2"/>
        <v>7.3077723102979775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</row>
    <row r="59" spans="1:81" x14ac:dyDescent="0.2">
      <c r="A59" s="8">
        <v>45366</v>
      </c>
      <c r="B59" s="5">
        <v>4.3304496329399802</v>
      </c>
      <c r="C59" s="5">
        <v>4.0523486500010799</v>
      </c>
      <c r="D59" s="5">
        <v>4.5107093276067998</v>
      </c>
      <c r="E59" s="14">
        <f t="shared" si="0"/>
        <v>18.025969466681957</v>
      </c>
      <c r="F59" s="14">
        <f t="shared" si="1"/>
        <v>-1.3054663738380157</v>
      </c>
      <c r="G59" s="14">
        <f t="shared" si="2"/>
        <v>1.3589476171340209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</row>
    <row r="60" spans="1:81" x14ac:dyDescent="0.2">
      <c r="A60" s="8">
        <v>45369</v>
      </c>
      <c r="B60" s="5">
        <v>4.3043341046729102</v>
      </c>
      <c r="C60" s="5">
        <v>4.0415340312582204</v>
      </c>
      <c r="D60" s="5">
        <v>4.4963526727846999</v>
      </c>
      <c r="E60" s="14">
        <f t="shared" si="0"/>
        <v>19.201856811178963</v>
      </c>
      <c r="F60" s="14">
        <f t="shared" si="1"/>
        <v>1.1758873444970064</v>
      </c>
      <c r="G60" s="14">
        <f t="shared" si="2"/>
        <v>-1.0814618742859494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</row>
    <row r="61" spans="1:81" x14ac:dyDescent="0.2">
      <c r="A61" s="8">
        <v>45370</v>
      </c>
      <c r="B61" s="5">
        <v>4.2626067579694302</v>
      </c>
      <c r="C61" s="5">
        <v>4.0077129047127498</v>
      </c>
      <c r="D61" s="5">
        <v>4.4924002415448001</v>
      </c>
      <c r="E61" s="14">
        <f t="shared" si="0"/>
        <v>22.979348357536988</v>
      </c>
      <c r="F61" s="14">
        <f t="shared" si="1"/>
        <v>3.777491546358025</v>
      </c>
      <c r="G61" s="14">
        <f t="shared" si="2"/>
        <v>-3.3821126545470648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</row>
    <row r="62" spans="1:81" x14ac:dyDescent="0.2">
      <c r="A62" s="8">
        <v>45371</v>
      </c>
      <c r="B62" s="5">
        <v>4.2391110249921002</v>
      </c>
      <c r="C62" s="5">
        <v>3.9721833141689298</v>
      </c>
      <c r="D62" s="5">
        <v>4.46375329774121</v>
      </c>
      <c r="E62" s="14">
        <f t="shared" si="0"/>
        <v>22.464227274910975</v>
      </c>
      <c r="F62" s="14">
        <f t="shared" si="1"/>
        <v>-0.5151210826260133</v>
      </c>
      <c r="G62" s="14">
        <f t="shared" si="2"/>
        <v>-3.5529590543819989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</row>
    <row r="63" spans="1:81" x14ac:dyDescent="0.2">
      <c r="A63" s="8">
        <v>45372</v>
      </c>
      <c r="B63" s="5">
        <v>4.1806950688290803</v>
      </c>
      <c r="C63" s="5">
        <v>3.9509101569726699</v>
      </c>
      <c r="D63" s="5">
        <v>4.4823912300949802</v>
      </c>
      <c r="E63" s="14">
        <f t="shared" si="0"/>
        <v>30.169616126589993</v>
      </c>
      <c r="F63" s="14">
        <f t="shared" si="1"/>
        <v>7.7053888516790181</v>
      </c>
      <c r="G63" s="14">
        <f t="shared" si="2"/>
        <v>-2.1273157196259884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</row>
    <row r="64" spans="1:81" x14ac:dyDescent="0.2">
      <c r="A64" s="9">
        <v>45373</v>
      </c>
      <c r="B64" s="5">
        <v>4.1400881065464104</v>
      </c>
      <c r="C64" s="5">
        <v>3.8990705472021698</v>
      </c>
      <c r="D64" s="5">
        <v>4.45458857804089</v>
      </c>
      <c r="E64" s="14">
        <f t="shared" si="0"/>
        <v>31.450047149447968</v>
      </c>
      <c r="F64" s="14">
        <f t="shared" si="1"/>
        <v>1.2804310228579752</v>
      </c>
      <c r="G64" s="14">
        <f t="shared" si="2"/>
        <v>-5.1839609770500061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</row>
    <row r="65" spans="1:81" x14ac:dyDescent="0.2">
      <c r="A65" s="9">
        <v>45376</v>
      </c>
      <c r="B65" s="5">
        <v>4.1922266170529099</v>
      </c>
      <c r="C65" s="5">
        <v>3.9538206109809702</v>
      </c>
      <c r="D65" s="5">
        <v>4.4888889072667704</v>
      </c>
      <c r="E65" s="14">
        <f t="shared" si="0"/>
        <v>29.666229021386048</v>
      </c>
      <c r="F65" s="14">
        <f t="shared" si="1"/>
        <v>-1.7838181280619203</v>
      </c>
      <c r="G65" s="14">
        <f t="shared" si="2"/>
        <v>5.4750063778800317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</row>
    <row r="66" spans="1:81" x14ac:dyDescent="0.2">
      <c r="A66" s="9">
        <v>45377</v>
      </c>
      <c r="B66" s="5">
        <v>4.19280289322547</v>
      </c>
      <c r="C66" s="5">
        <v>3.9338025077208498</v>
      </c>
      <c r="D66" s="5">
        <v>4.4527299325696896</v>
      </c>
      <c r="E66" s="14">
        <f t="shared" si="0"/>
        <v>25.992703934421968</v>
      </c>
      <c r="F66" s="14">
        <f t="shared" si="1"/>
        <v>-3.6735250869640801</v>
      </c>
      <c r="G66" s="14">
        <f t="shared" si="2"/>
        <v>-2.0018103260120323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</row>
    <row r="67" spans="1:81" x14ac:dyDescent="0.2">
      <c r="A67" s="9">
        <v>45378</v>
      </c>
      <c r="B67" s="5">
        <v>4.1671560347153402</v>
      </c>
      <c r="C67" s="5">
        <v>3.9077577834038801</v>
      </c>
      <c r="D67" s="5">
        <v>4.4400856104385298</v>
      </c>
      <c r="E67" s="14">
        <f t="shared" si="0"/>
        <v>27.292957572318954</v>
      </c>
      <c r="F67" s="14">
        <f t="shared" si="1"/>
        <v>1.3002536378969864</v>
      </c>
      <c r="G67" s="14">
        <f t="shared" si="2"/>
        <v>-2.6044724316969692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</row>
    <row r="68" spans="1:81" x14ac:dyDescent="0.2">
      <c r="A68" s="9">
        <v>45379</v>
      </c>
      <c r="B68" s="5">
        <v>4.1695707030863502</v>
      </c>
      <c r="C68" s="5">
        <v>3.8916546165480601</v>
      </c>
      <c r="D68" s="5">
        <v>4.4248014603176298</v>
      </c>
      <c r="E68" s="14">
        <f t="shared" si="0"/>
        <v>25.523075723127953</v>
      </c>
      <c r="F68" s="14">
        <f t="shared" si="1"/>
        <v>-1.7698818491910018</v>
      </c>
      <c r="G68" s="14">
        <f t="shared" si="2"/>
        <v>-1.6103166855820028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</row>
    <row r="69" spans="1:81" x14ac:dyDescent="0.2">
      <c r="A69" s="9">
        <v>45384</v>
      </c>
      <c r="B69" s="5">
        <v>4.2452851829222498</v>
      </c>
      <c r="C69" s="5">
        <v>4.0494026427816001</v>
      </c>
      <c r="D69" s="5">
        <v>4.5793617641174702</v>
      </c>
      <c r="E69" s="14">
        <f t="shared" si="0"/>
        <v>33.40765811952204</v>
      </c>
      <c r="F69" s="14">
        <f t="shared" si="1"/>
        <v>7.8845823963940873</v>
      </c>
      <c r="G69" s="14">
        <f t="shared" si="2"/>
        <v>15.774802623354001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</row>
    <row r="70" spans="1:81" x14ac:dyDescent="0.2">
      <c r="A70" s="9">
        <v>45385</v>
      </c>
      <c r="B70" s="5">
        <v>4.2367259863300299</v>
      </c>
      <c r="C70" s="5">
        <v>4.0392074007906897</v>
      </c>
      <c r="D70" s="5">
        <v>4.5839794540996897</v>
      </c>
      <c r="E70" s="14">
        <f t="shared" si="0"/>
        <v>34.725346776965971</v>
      </c>
      <c r="F70" s="14">
        <f t="shared" si="1"/>
        <v>1.3176886574439308</v>
      </c>
      <c r="G70" s="14">
        <f t="shared" si="2"/>
        <v>-1.0195241990910375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</row>
    <row r="71" spans="1:81" x14ac:dyDescent="0.2">
      <c r="A71" s="9">
        <v>45386</v>
      </c>
      <c r="B71" s="5">
        <v>4.1962205943586897</v>
      </c>
      <c r="C71" s="5">
        <v>3.9754842171933999</v>
      </c>
      <c r="D71" s="5">
        <v>4.5324072517688796</v>
      </c>
      <c r="E71" s="14">
        <f t="shared" ref="E71:E134" si="3">(D71-B71)*100</f>
        <v>33.618665741018994</v>
      </c>
      <c r="F71" s="14">
        <f t="shared" si="1"/>
        <v>-1.106681035946977</v>
      </c>
      <c r="G71" s="14">
        <f t="shared" si="2"/>
        <v>-6.372318359728979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</row>
    <row r="72" spans="1:81" x14ac:dyDescent="0.2">
      <c r="A72" s="9">
        <v>45387</v>
      </c>
      <c r="B72" s="5">
        <v>4.2466388273314202</v>
      </c>
      <c r="C72" s="5">
        <v>4.03939014090769</v>
      </c>
      <c r="D72" s="5">
        <v>4.5910356000562702</v>
      </c>
      <c r="E72" s="14">
        <f t="shared" si="3"/>
        <v>34.439677272485</v>
      </c>
      <c r="F72" s="14">
        <f t="shared" ref="F72:F135" si="4">E72-E71</f>
        <v>0.82101153146600581</v>
      </c>
      <c r="G72" s="14">
        <f t="shared" ref="G72:G135" si="5">(C72-C71)*100</f>
        <v>6.3905923714290047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</row>
    <row r="73" spans="1:81" x14ac:dyDescent="0.2">
      <c r="A73" s="9">
        <v>45390</v>
      </c>
      <c r="B73" s="5">
        <v>4.2608474612793801</v>
      </c>
      <c r="C73" s="5">
        <v>4.0552725139682302</v>
      </c>
      <c r="D73" s="5">
        <v>4.6033831541387098</v>
      </c>
      <c r="E73" s="14">
        <f t="shared" si="3"/>
        <v>34.253569285932969</v>
      </c>
      <c r="F73" s="14">
        <f t="shared" si="4"/>
        <v>-0.18610798655203098</v>
      </c>
      <c r="G73" s="14">
        <f t="shared" si="5"/>
        <v>1.5882373060540189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</row>
    <row r="74" spans="1:81" x14ac:dyDescent="0.2">
      <c r="A74" s="9">
        <v>45391</v>
      </c>
      <c r="B74" s="5">
        <v>4.2226081261068096</v>
      </c>
      <c r="C74" s="5">
        <v>3.9911684719279901</v>
      </c>
      <c r="D74" s="5">
        <v>4.5296554717355102</v>
      </c>
      <c r="E74" s="14">
        <f t="shared" si="3"/>
        <v>30.704734562870062</v>
      </c>
      <c r="F74" s="14">
        <f t="shared" si="4"/>
        <v>-3.5488347230629067</v>
      </c>
      <c r="G74" s="14">
        <f t="shared" si="5"/>
        <v>-6.4104042040240117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</row>
    <row r="75" spans="1:81" x14ac:dyDescent="0.2">
      <c r="A75" s="9">
        <v>45392</v>
      </c>
      <c r="B75" s="5">
        <v>4.3473352278192001</v>
      </c>
      <c r="C75" s="5">
        <v>4.09344514974405</v>
      </c>
      <c r="D75" s="5">
        <v>4.5963942671789999</v>
      </c>
      <c r="E75" s="14">
        <f t="shared" si="3"/>
        <v>24.905903935979978</v>
      </c>
      <c r="F75" s="14">
        <f t="shared" si="4"/>
        <v>-5.7988306268900836</v>
      </c>
      <c r="G75" s="14">
        <f t="shared" si="5"/>
        <v>10.227667781605998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</row>
    <row r="76" spans="1:81" x14ac:dyDescent="0.2">
      <c r="A76" s="9">
        <v>45393</v>
      </c>
      <c r="B76" s="5">
        <v>4.4285408251651903</v>
      </c>
      <c r="C76" s="5">
        <v>4.1769325708609397</v>
      </c>
      <c r="D76" s="5">
        <v>4.6811630757243998</v>
      </c>
      <c r="E76" s="14">
        <f t="shared" si="3"/>
        <v>25.26222505592095</v>
      </c>
      <c r="F76" s="14">
        <f t="shared" si="4"/>
        <v>0.35632111994097215</v>
      </c>
      <c r="G76" s="14">
        <f t="shared" si="5"/>
        <v>8.3487421116889671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</row>
    <row r="77" spans="1:81" x14ac:dyDescent="0.2">
      <c r="A77" s="9">
        <v>45394</v>
      </c>
      <c r="B77" s="5">
        <v>4.3596696548754599</v>
      </c>
      <c r="C77" s="5">
        <v>4.0902351702268298</v>
      </c>
      <c r="D77" s="5">
        <v>4.6097603558028704</v>
      </c>
      <c r="E77" s="14">
        <f t="shared" si="3"/>
        <v>25.009070092741048</v>
      </c>
      <c r="F77" s="14">
        <f t="shared" si="4"/>
        <v>-0.25315496317990238</v>
      </c>
      <c r="G77" s="14">
        <f t="shared" si="5"/>
        <v>-8.6697400634109911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</row>
    <row r="78" spans="1:81" x14ac:dyDescent="0.2">
      <c r="A78" s="9">
        <v>45397</v>
      </c>
      <c r="B78" s="5">
        <v>4.4275165116153099</v>
      </c>
      <c r="C78" s="5">
        <v>4.2033862350239604</v>
      </c>
      <c r="D78" s="5">
        <v>4.7186662915042596</v>
      </c>
      <c r="E78" s="14">
        <f t="shared" si="3"/>
        <v>29.114977988894974</v>
      </c>
      <c r="F78" s="14">
        <f t="shared" si="4"/>
        <v>4.1059078961539264</v>
      </c>
      <c r="G78" s="14">
        <f t="shared" si="5"/>
        <v>11.315106479713055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</row>
    <row r="79" spans="1:81" x14ac:dyDescent="0.2">
      <c r="A79" s="9">
        <v>45398</v>
      </c>
      <c r="B79" s="5">
        <v>4.4911437121716604</v>
      </c>
      <c r="C79" s="5">
        <v>4.2577809353851901</v>
      </c>
      <c r="D79" s="5">
        <v>4.7325315954444598</v>
      </c>
      <c r="E79" s="14">
        <f t="shared" si="3"/>
        <v>24.138788327279936</v>
      </c>
      <c r="F79" s="14">
        <f t="shared" si="4"/>
        <v>-4.9761896616150381</v>
      </c>
      <c r="G79" s="14">
        <f t="shared" si="5"/>
        <v>5.4394700361229731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</row>
    <row r="80" spans="1:81" x14ac:dyDescent="0.2">
      <c r="A80" s="9">
        <v>45399</v>
      </c>
      <c r="B80" s="5">
        <v>4.4996702973799199</v>
      </c>
      <c r="C80" s="5">
        <v>4.2350989436617201</v>
      </c>
      <c r="D80" s="5">
        <v>4.6902271751301097</v>
      </c>
      <c r="E80" s="14">
        <f t="shared" si="3"/>
        <v>19.055687775018981</v>
      </c>
      <c r="F80" s="14">
        <f t="shared" si="4"/>
        <v>-5.0831005522609551</v>
      </c>
      <c r="G80" s="14">
        <f t="shared" si="5"/>
        <v>-2.2681991723469963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</row>
    <row r="81" spans="1:81" x14ac:dyDescent="0.2">
      <c r="A81" s="9">
        <v>45400</v>
      </c>
      <c r="B81" s="5">
        <v>4.4776824674710198</v>
      </c>
      <c r="C81" s="5">
        <v>4.2164147498836702</v>
      </c>
      <c r="D81" s="5">
        <v>4.6901855992227404</v>
      </c>
      <c r="E81" s="14">
        <f t="shared" si="3"/>
        <v>21.250313175172053</v>
      </c>
      <c r="F81" s="14">
        <f t="shared" si="4"/>
        <v>2.1946254001530718</v>
      </c>
      <c r="G81" s="14">
        <f t="shared" si="5"/>
        <v>-1.8684193778049973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</row>
    <row r="82" spans="1:81" x14ac:dyDescent="0.2">
      <c r="A82" s="9">
        <v>45401</v>
      </c>
      <c r="B82" s="5">
        <v>4.4235719495365702</v>
      </c>
      <c r="C82" s="5">
        <v>4.2108313588472503</v>
      </c>
      <c r="D82" s="5">
        <v>4.7078864331367303</v>
      </c>
      <c r="E82" s="14">
        <f t="shared" si="3"/>
        <v>28.43144836001601</v>
      </c>
      <c r="F82" s="14">
        <f t="shared" si="4"/>
        <v>7.1811351848439564</v>
      </c>
      <c r="G82" s="14">
        <f t="shared" si="5"/>
        <v>-0.55833910364198047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</row>
    <row r="83" spans="1:81" x14ac:dyDescent="0.2">
      <c r="A83" s="9">
        <v>45404</v>
      </c>
      <c r="B83" s="5">
        <v>4.3438952127013604</v>
      </c>
      <c r="C83" s="5">
        <v>4.1683866271261003</v>
      </c>
      <c r="D83" s="5">
        <v>4.6728816583152701</v>
      </c>
      <c r="E83" s="14">
        <f t="shared" si="3"/>
        <v>32.898644561390981</v>
      </c>
      <c r="F83" s="14">
        <f t="shared" si="4"/>
        <v>4.4671962013749713</v>
      </c>
      <c r="G83" s="14">
        <f t="shared" si="5"/>
        <v>-4.2444731721150042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</row>
    <row r="84" spans="1:81" x14ac:dyDescent="0.2">
      <c r="A84" s="9">
        <v>45405</v>
      </c>
      <c r="B84" s="5">
        <v>4.3942064956560696</v>
      </c>
      <c r="C84" s="5">
        <v>4.2149297300539397</v>
      </c>
      <c r="D84" s="5">
        <v>4.7240983391014204</v>
      </c>
      <c r="E84" s="14">
        <f t="shared" si="3"/>
        <v>32.989184344535083</v>
      </c>
      <c r="F84" s="14">
        <f t="shared" si="4"/>
        <v>9.0539783144102159E-2</v>
      </c>
      <c r="G84" s="14">
        <f t="shared" si="5"/>
        <v>4.6543102927839364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</row>
    <row r="85" spans="1:81" x14ac:dyDescent="0.2">
      <c r="A85" s="9">
        <v>45406</v>
      </c>
      <c r="B85" s="5">
        <v>4.4707385217355604</v>
      </c>
      <c r="C85" s="5">
        <v>4.2923286684147701</v>
      </c>
      <c r="D85" s="5">
        <v>4.7864160924555801</v>
      </c>
      <c r="E85" s="14">
        <f t="shared" si="3"/>
        <v>31.567757072001967</v>
      </c>
      <c r="F85" s="14">
        <f t="shared" si="4"/>
        <v>-1.4214272725331156</v>
      </c>
      <c r="G85" s="14">
        <f t="shared" si="5"/>
        <v>7.7398938360830449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</row>
    <row r="86" spans="1:81" x14ac:dyDescent="0.2">
      <c r="A86" s="9">
        <v>45407</v>
      </c>
      <c r="B86" s="5">
        <v>4.5062185547418601</v>
      </c>
      <c r="C86" s="5">
        <v>4.3175252910523101</v>
      </c>
      <c r="D86" s="5">
        <v>4.8068060400440498</v>
      </c>
      <c r="E86" s="14">
        <f t="shared" si="3"/>
        <v>30.058748530218971</v>
      </c>
      <c r="F86" s="14">
        <f t="shared" si="4"/>
        <v>-1.5090085417829968</v>
      </c>
      <c r="G86" s="14">
        <f t="shared" si="5"/>
        <v>2.5196622637539967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</row>
    <row r="87" spans="1:81" x14ac:dyDescent="0.2">
      <c r="A87" s="9">
        <v>45408</v>
      </c>
      <c r="B87" s="5">
        <v>4.50042561102428</v>
      </c>
      <c r="C87" s="5">
        <v>4.2794134690345897</v>
      </c>
      <c r="D87" s="5">
        <v>4.7598421287269703</v>
      </c>
      <c r="E87" s="14">
        <f t="shared" si="3"/>
        <v>25.941651770269036</v>
      </c>
      <c r="F87" s="14">
        <f t="shared" si="4"/>
        <v>-4.1170967599499342</v>
      </c>
      <c r="G87" s="14">
        <f t="shared" si="5"/>
        <v>-3.8111822017720343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</row>
    <row r="88" spans="1:81" x14ac:dyDescent="0.2">
      <c r="A88" s="9">
        <v>45411</v>
      </c>
      <c r="B88" s="5">
        <v>4.4654134974319302</v>
      </c>
      <c r="C88" s="5">
        <v>4.2422570301726896</v>
      </c>
      <c r="D88" s="5">
        <v>4.7311844347634597</v>
      </c>
      <c r="E88" s="14">
        <f t="shared" si="3"/>
        <v>26.577093733152957</v>
      </c>
      <c r="F88" s="14">
        <f t="shared" si="4"/>
        <v>0.6354419628839203</v>
      </c>
      <c r="G88" s="14">
        <f t="shared" si="5"/>
        <v>-3.7156438861900121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</row>
    <row r="89" spans="1:81" x14ac:dyDescent="0.2">
      <c r="A89" s="9">
        <v>45412</v>
      </c>
      <c r="B89" s="5">
        <v>4.5331700187847597</v>
      </c>
      <c r="C89" s="5">
        <v>4.3159605548406299</v>
      </c>
      <c r="D89" s="5">
        <v>4.78363257246572</v>
      </c>
      <c r="E89" s="14">
        <f t="shared" si="3"/>
        <v>25.046255368096038</v>
      </c>
      <c r="F89" s="14">
        <f t="shared" si="4"/>
        <v>-1.5308383650569191</v>
      </c>
      <c r="G89" s="14">
        <f t="shared" si="5"/>
        <v>7.3703524667940279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</row>
    <row r="90" spans="1:81" x14ac:dyDescent="0.2">
      <c r="A90" s="9">
        <v>45413</v>
      </c>
      <c r="B90" s="5">
        <v>4.5423617482965204</v>
      </c>
      <c r="C90" s="5">
        <v>4.3286130462827996</v>
      </c>
      <c r="D90" s="5">
        <v>4.7942460061396801</v>
      </c>
      <c r="E90" s="14">
        <f t="shared" si="3"/>
        <v>25.188425784315971</v>
      </c>
      <c r="F90" s="14">
        <f t="shared" si="4"/>
        <v>0.14217041621993332</v>
      </c>
      <c r="G90" s="14">
        <f t="shared" si="5"/>
        <v>1.2652491442169733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</row>
    <row r="91" spans="1:81" x14ac:dyDescent="0.2">
      <c r="A91" s="9">
        <v>45414</v>
      </c>
      <c r="B91" s="5">
        <v>4.4654678581712002</v>
      </c>
      <c r="C91" s="5">
        <v>4.2586598232628097</v>
      </c>
      <c r="D91" s="5">
        <v>4.7583391307187597</v>
      </c>
      <c r="E91" s="14">
        <f t="shared" si="3"/>
        <v>29.287127254755951</v>
      </c>
      <c r="F91" s="14">
        <f t="shared" si="4"/>
        <v>4.0987014704399805</v>
      </c>
      <c r="G91" s="14">
        <f t="shared" si="5"/>
        <v>-6.9953223019989963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</row>
    <row r="92" spans="1:81" x14ac:dyDescent="0.2">
      <c r="A92" s="9">
        <v>45415</v>
      </c>
      <c r="B92" s="5">
        <v>4.4004963769164496</v>
      </c>
      <c r="C92" s="5">
        <v>4.1975506707872103</v>
      </c>
      <c r="D92" s="5">
        <v>4.7170784310765201</v>
      </c>
      <c r="E92" s="14">
        <f t="shared" si="3"/>
        <v>31.658205416007057</v>
      </c>
      <c r="F92" s="14">
        <f t="shared" si="4"/>
        <v>2.3710781612511056</v>
      </c>
      <c r="G92" s="14">
        <f t="shared" si="5"/>
        <v>-6.1109152475599338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</row>
    <row r="93" spans="1:81" x14ac:dyDescent="0.2">
      <c r="A93" s="9">
        <v>45419</v>
      </c>
      <c r="B93" s="5">
        <v>4.34280382336022</v>
      </c>
      <c r="C93" s="5">
        <v>4.0893448759151596</v>
      </c>
      <c r="D93" s="5">
        <v>4.6108607926273502</v>
      </c>
      <c r="E93" s="14">
        <f t="shared" si="3"/>
        <v>26.805696926713019</v>
      </c>
      <c r="F93" s="14">
        <f t="shared" si="4"/>
        <v>-4.8525084892940384</v>
      </c>
      <c r="G93" s="14">
        <f t="shared" si="5"/>
        <v>-10.820579487205073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</row>
    <row r="94" spans="1:81" x14ac:dyDescent="0.2">
      <c r="A94" s="9">
        <v>45420</v>
      </c>
      <c r="B94" s="5">
        <v>4.3334697491502201</v>
      </c>
      <c r="C94" s="5">
        <v>4.0929234167157897</v>
      </c>
      <c r="D94" s="5">
        <v>4.6000532150293703</v>
      </c>
      <c r="E94" s="14">
        <f t="shared" si="3"/>
        <v>26.658346587915016</v>
      </c>
      <c r="F94" s="14">
        <f t="shared" si="4"/>
        <v>-0.14735033879800241</v>
      </c>
      <c r="G94" s="14">
        <f t="shared" si="5"/>
        <v>0.35785408006301367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</row>
    <row r="95" spans="1:81" x14ac:dyDescent="0.2">
      <c r="A95" s="9">
        <v>45421</v>
      </c>
      <c r="B95" s="5">
        <v>4.2973398989586702</v>
      </c>
      <c r="C95" s="5">
        <v>4.1052988275399196</v>
      </c>
      <c r="D95" s="5">
        <v>4.6317226980373203</v>
      </c>
      <c r="E95" s="14">
        <f t="shared" si="3"/>
        <v>33.438279907865009</v>
      </c>
      <c r="F95" s="14">
        <f t="shared" si="4"/>
        <v>6.7799333199499934</v>
      </c>
      <c r="G95" s="14">
        <f t="shared" si="5"/>
        <v>1.2375410824129851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</row>
    <row r="96" spans="1:81" x14ac:dyDescent="0.2">
      <c r="A96" s="9">
        <v>45422</v>
      </c>
      <c r="B96" s="5">
        <v>4.3340389195019702</v>
      </c>
      <c r="C96" s="5">
        <v>4.1261228489166397</v>
      </c>
      <c r="D96" s="5">
        <v>4.6472920592479898</v>
      </c>
      <c r="E96" s="14">
        <f t="shared" si="3"/>
        <v>31.325313974601965</v>
      </c>
      <c r="F96" s="14">
        <f t="shared" si="4"/>
        <v>-2.1129659332630446</v>
      </c>
      <c r="G96" s="14">
        <f t="shared" si="5"/>
        <v>2.0824021376720125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</row>
    <row r="97" spans="1:81" x14ac:dyDescent="0.2">
      <c r="A97" s="9">
        <v>45425</v>
      </c>
      <c r="B97" s="5">
        <v>4.3390055936804099</v>
      </c>
      <c r="C97" s="5">
        <v>4.1253493796533602</v>
      </c>
      <c r="D97" s="5">
        <v>4.6511008243067202</v>
      </c>
      <c r="E97" s="14">
        <f t="shared" si="3"/>
        <v>31.209523062631028</v>
      </c>
      <c r="F97" s="14">
        <f t="shared" si="4"/>
        <v>-0.11579091197093661</v>
      </c>
      <c r="G97" s="14">
        <f t="shared" si="5"/>
        <v>-7.734692632794804E-2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</row>
    <row r="98" spans="1:81" x14ac:dyDescent="0.2">
      <c r="A98" s="9">
        <v>45426</v>
      </c>
      <c r="B98" s="5">
        <v>4.3380673906119398</v>
      </c>
      <c r="C98" s="5">
        <v>4.1260143018133704</v>
      </c>
      <c r="D98" s="5">
        <v>4.6481187309471297</v>
      </c>
      <c r="E98" s="14">
        <f t="shared" si="3"/>
        <v>31.005134033518988</v>
      </c>
      <c r="F98" s="14">
        <f t="shared" si="4"/>
        <v>-0.20438902911203982</v>
      </c>
      <c r="G98" s="14">
        <f t="shared" si="5"/>
        <v>6.6492216001012849E-2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</row>
    <row r="99" spans="1:81" x14ac:dyDescent="0.2">
      <c r="A99" s="9">
        <v>45427</v>
      </c>
      <c r="B99" s="5">
        <v>4.2612185445058497</v>
      </c>
      <c r="C99" s="5">
        <v>4.0232476343003896</v>
      </c>
      <c r="D99" s="5">
        <v>4.5348861646342398</v>
      </c>
      <c r="E99" s="14">
        <f t="shared" si="3"/>
        <v>27.366762012839008</v>
      </c>
      <c r="F99" s="14">
        <f t="shared" si="4"/>
        <v>-3.6383720206799808</v>
      </c>
      <c r="G99" s="14">
        <f t="shared" si="5"/>
        <v>-10.27666675129808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</row>
    <row r="100" spans="1:81" x14ac:dyDescent="0.2">
      <c r="A100" s="9">
        <v>45428</v>
      </c>
      <c r="B100" s="5">
        <v>4.2676223376124103</v>
      </c>
      <c r="C100" s="5">
        <v>4.0183766572311796</v>
      </c>
      <c r="D100" s="5">
        <v>4.5341711420360404</v>
      </c>
      <c r="E100" s="14">
        <f t="shared" si="3"/>
        <v>26.654880442363016</v>
      </c>
      <c r="F100" s="14">
        <f t="shared" si="4"/>
        <v>-0.71188157047599177</v>
      </c>
      <c r="G100" s="14">
        <f t="shared" si="5"/>
        <v>-0.48709770692099141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</row>
    <row r="101" spans="1:81" x14ac:dyDescent="0.2">
      <c r="A101" s="9">
        <v>45429</v>
      </c>
      <c r="B101" s="5">
        <v>4.3241342423394498</v>
      </c>
      <c r="C101" s="5">
        <v>4.0886427989083503</v>
      </c>
      <c r="D101" s="5">
        <v>4.5957523875450903</v>
      </c>
      <c r="E101" s="14">
        <f t="shared" si="3"/>
        <v>27.161814520564054</v>
      </c>
      <c r="F101" s="14">
        <f t="shared" si="4"/>
        <v>0.50693407820103786</v>
      </c>
      <c r="G101" s="14">
        <f t="shared" si="5"/>
        <v>7.0266141677170602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</row>
    <row r="102" spans="1:81" x14ac:dyDescent="0.2">
      <c r="A102" s="9">
        <v>45432</v>
      </c>
      <c r="B102" s="5">
        <v>4.3540047042065</v>
      </c>
      <c r="C102" s="5">
        <v>4.13264811420696</v>
      </c>
      <c r="D102" s="5">
        <v>4.6489148467428301</v>
      </c>
      <c r="E102" s="14">
        <f t="shared" si="3"/>
        <v>29.491014253633008</v>
      </c>
      <c r="F102" s="14">
        <f t="shared" si="4"/>
        <v>2.329199733068954</v>
      </c>
      <c r="G102" s="14">
        <f t="shared" si="5"/>
        <v>4.4005315298609737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</row>
    <row r="103" spans="1:81" x14ac:dyDescent="0.2">
      <c r="A103" s="9">
        <v>45433</v>
      </c>
      <c r="B103" s="5">
        <v>4.3320910214620403</v>
      </c>
      <c r="C103" s="5">
        <v>4.1090490594075399</v>
      </c>
      <c r="D103" s="5">
        <v>4.6301595076925803</v>
      </c>
      <c r="E103" s="14">
        <f t="shared" si="3"/>
        <v>29.806848623054005</v>
      </c>
      <c r="F103" s="14">
        <f t="shared" si="4"/>
        <v>0.31583436942099752</v>
      </c>
      <c r="G103" s="14">
        <f t="shared" si="5"/>
        <v>-2.3599054799420038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</row>
    <row r="104" spans="1:81" x14ac:dyDescent="0.2">
      <c r="A104" s="9">
        <v>45434</v>
      </c>
      <c r="B104" s="5">
        <v>4.4554206094474296</v>
      </c>
      <c r="C104" s="5">
        <v>4.1892883155494998</v>
      </c>
      <c r="D104" s="5">
        <v>4.6738291476084797</v>
      </c>
      <c r="E104" s="14">
        <f t="shared" si="3"/>
        <v>21.84085381610501</v>
      </c>
      <c r="F104" s="14">
        <f t="shared" si="4"/>
        <v>-7.965994806948995</v>
      </c>
      <c r="G104" s="14">
        <f t="shared" si="5"/>
        <v>8.0239256141959814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</row>
    <row r="105" spans="1:81" x14ac:dyDescent="0.2">
      <c r="A105" s="9">
        <v>45435</v>
      </c>
      <c r="B105" s="5">
        <v>4.5224746105709999</v>
      </c>
      <c r="C105" s="5">
        <v>4.2190333730075196</v>
      </c>
      <c r="D105" s="5">
        <v>4.6878892530174303</v>
      </c>
      <c r="E105" s="14">
        <f t="shared" si="3"/>
        <v>16.541464244643045</v>
      </c>
      <c r="F105" s="14">
        <f t="shared" si="4"/>
        <v>-5.2993895714619654</v>
      </c>
      <c r="G105" s="14">
        <f t="shared" si="5"/>
        <v>2.9745057458019808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</row>
    <row r="106" spans="1:81" x14ac:dyDescent="0.2">
      <c r="A106" s="9">
        <v>45436</v>
      </c>
      <c r="B106" s="5">
        <v>4.5103064854631096</v>
      </c>
      <c r="C106" s="5">
        <v>4.2137352965452104</v>
      </c>
      <c r="D106" s="5">
        <v>4.6955642670240003</v>
      </c>
      <c r="E106" s="14">
        <f t="shared" si="3"/>
        <v>18.525778156089068</v>
      </c>
      <c r="F106" s="14">
        <f t="shared" si="4"/>
        <v>1.9843139114460229</v>
      </c>
      <c r="G106" s="14">
        <f t="shared" si="5"/>
        <v>-0.52980764623091758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</row>
    <row r="107" spans="1:81" x14ac:dyDescent="0.2">
      <c r="A107" s="9">
        <v>45440</v>
      </c>
      <c r="B107" s="5">
        <v>4.5091356089506904</v>
      </c>
      <c r="C107" s="5">
        <v>4.2294471367534303</v>
      </c>
      <c r="D107" s="5">
        <v>4.7224713183388696</v>
      </c>
      <c r="E107" s="14">
        <f t="shared" si="3"/>
        <v>21.333570938817914</v>
      </c>
      <c r="F107" s="14">
        <f t="shared" si="4"/>
        <v>2.8077927827288462</v>
      </c>
      <c r="G107" s="14">
        <f t="shared" si="5"/>
        <v>1.5711840208219918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</row>
    <row r="108" spans="1:81" x14ac:dyDescent="0.2">
      <c r="A108" s="9">
        <v>45441</v>
      </c>
      <c r="B108" s="5">
        <v>4.5784232758971601</v>
      </c>
      <c r="C108" s="5">
        <v>4.3475553162923699</v>
      </c>
      <c r="D108" s="5">
        <v>4.8422491544779804</v>
      </c>
      <c r="E108" s="14">
        <f t="shared" si="3"/>
        <v>26.382587858082029</v>
      </c>
      <c r="F108" s="14">
        <f t="shared" si="4"/>
        <v>5.0490169192641154</v>
      </c>
      <c r="G108" s="14">
        <f t="shared" si="5"/>
        <v>11.810817953893959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</row>
    <row r="109" spans="1:81" x14ac:dyDescent="0.2">
      <c r="A109" s="9">
        <v>45442</v>
      </c>
      <c r="B109" s="5">
        <v>4.5245103142094001</v>
      </c>
      <c r="C109" s="5">
        <v>4.3252526454548397</v>
      </c>
      <c r="D109" s="5">
        <v>4.8190396343904904</v>
      </c>
      <c r="E109" s="14">
        <f t="shared" si="3"/>
        <v>29.452932018109035</v>
      </c>
      <c r="F109" s="14">
        <f t="shared" si="4"/>
        <v>3.0703441600270054</v>
      </c>
      <c r="G109" s="14">
        <f t="shared" si="5"/>
        <v>-2.2302670837530236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</row>
    <row r="110" spans="1:81" x14ac:dyDescent="0.2">
      <c r="A110" s="9">
        <v>45443</v>
      </c>
      <c r="B110" s="5">
        <v>4.4726355399825799</v>
      </c>
      <c r="C110" s="5">
        <v>4.2692503022077899</v>
      </c>
      <c r="D110" s="5">
        <v>4.74147535023</v>
      </c>
      <c r="E110" s="14">
        <f t="shared" si="3"/>
        <v>26.88398102474201</v>
      </c>
      <c r="F110" s="14">
        <f t="shared" si="4"/>
        <v>-2.5689509933670251</v>
      </c>
      <c r="G110" s="14">
        <f t="shared" si="5"/>
        <v>-5.600234324704978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</row>
    <row r="111" spans="1:81" x14ac:dyDescent="0.2">
      <c r="A111" s="9">
        <v>45446</v>
      </c>
      <c r="B111" s="5">
        <v>4.4295438972762797</v>
      </c>
      <c r="C111" s="5">
        <v>4.1950000835064296</v>
      </c>
      <c r="D111" s="5">
        <v>4.6737036975419404</v>
      </c>
      <c r="E111" s="14">
        <f t="shared" si="3"/>
        <v>24.415980026566064</v>
      </c>
      <c r="F111" s="14">
        <f t="shared" si="4"/>
        <v>-2.4680009981759454</v>
      </c>
      <c r="G111" s="14">
        <f t="shared" si="5"/>
        <v>-7.4250218701360282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</row>
    <row r="112" spans="1:81" x14ac:dyDescent="0.2">
      <c r="A112" s="9">
        <v>45447</v>
      </c>
      <c r="B112" s="5">
        <v>4.4221389147045</v>
      </c>
      <c r="C112" s="5">
        <v>4.1441978558713402</v>
      </c>
      <c r="D112" s="5">
        <v>4.6081171341415903</v>
      </c>
      <c r="E112" s="14">
        <f t="shared" si="3"/>
        <v>18.597821943709025</v>
      </c>
      <c r="F112" s="14">
        <f t="shared" si="4"/>
        <v>-5.8181580828570389</v>
      </c>
      <c r="G112" s="14">
        <f t="shared" si="5"/>
        <v>-5.0802227635089459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</row>
    <row r="113" spans="1:81" x14ac:dyDescent="0.2">
      <c r="A113" s="9">
        <v>45448</v>
      </c>
      <c r="B113" s="5">
        <v>4.4311558516413303</v>
      </c>
      <c r="C113" s="5">
        <v>4.1454614574626802</v>
      </c>
      <c r="D113" s="5">
        <v>4.5970396791208197</v>
      </c>
      <c r="E113" s="14">
        <f t="shared" si="3"/>
        <v>16.588382747948938</v>
      </c>
      <c r="F113" s="14">
        <f t="shared" si="4"/>
        <v>-2.0094391957600877</v>
      </c>
      <c r="G113" s="14">
        <f t="shared" si="5"/>
        <v>0.12636015913400911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</row>
    <row r="114" spans="1:81" x14ac:dyDescent="0.2">
      <c r="A114" s="9">
        <v>45449</v>
      </c>
      <c r="B114" s="5">
        <v>4.3863703303308803</v>
      </c>
      <c r="C114" s="5">
        <v>4.1358462145555102</v>
      </c>
      <c r="D114" s="5">
        <v>4.5987147924632099</v>
      </c>
      <c r="E114" s="14">
        <f t="shared" si="3"/>
        <v>21.23444621323296</v>
      </c>
      <c r="F114" s="14">
        <f t="shared" si="4"/>
        <v>4.6460634652840227</v>
      </c>
      <c r="G114" s="14">
        <f t="shared" si="5"/>
        <v>-0.96152429071700851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</row>
    <row r="115" spans="1:81" x14ac:dyDescent="0.2">
      <c r="A115" s="9">
        <v>45450</v>
      </c>
      <c r="B115" s="5">
        <v>4.4490066486078703</v>
      </c>
      <c r="C115" s="5">
        <v>4.2215891259740497</v>
      </c>
      <c r="D115" s="5">
        <v>4.6664186885317704</v>
      </c>
      <c r="E115" s="14">
        <f t="shared" si="3"/>
        <v>21.741203992390012</v>
      </c>
      <c r="F115" s="14">
        <f t="shared" si="4"/>
        <v>0.50675777915705211</v>
      </c>
      <c r="G115" s="14">
        <f t="shared" si="5"/>
        <v>8.5742911418539514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</row>
    <row r="116" spans="1:81" x14ac:dyDescent="0.2">
      <c r="A116" s="9">
        <v>45453</v>
      </c>
      <c r="B116" s="5">
        <v>4.4848837899268998</v>
      </c>
      <c r="C116" s="5">
        <v>4.2869703590313204</v>
      </c>
      <c r="D116" s="5">
        <v>4.7413221361581703</v>
      </c>
      <c r="E116" s="14">
        <f t="shared" si="3"/>
        <v>25.643834623127049</v>
      </c>
      <c r="F116" s="14">
        <f t="shared" si="4"/>
        <v>3.9026306307370362</v>
      </c>
      <c r="G116" s="14">
        <f t="shared" si="5"/>
        <v>6.5381233057270727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</row>
    <row r="117" spans="1:81" x14ac:dyDescent="0.2">
      <c r="A117" s="9">
        <v>45454</v>
      </c>
      <c r="B117" s="5">
        <v>4.4324314613731701</v>
      </c>
      <c r="C117" s="5">
        <v>4.2327252625905496</v>
      </c>
      <c r="D117" s="5">
        <v>4.7222308525481704</v>
      </c>
      <c r="E117" s="14">
        <f t="shared" si="3"/>
        <v>28.979939117500031</v>
      </c>
      <c r="F117" s="14">
        <f t="shared" si="4"/>
        <v>3.3361044943729823</v>
      </c>
      <c r="G117" s="14">
        <f t="shared" si="5"/>
        <v>-5.4245096440770801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</row>
    <row r="118" spans="1:81" x14ac:dyDescent="0.2">
      <c r="A118" s="9">
        <v>45455</v>
      </c>
      <c r="B118" s="5">
        <v>4.3303324361513997</v>
      </c>
      <c r="C118" s="5">
        <v>4.1043931957996298</v>
      </c>
      <c r="D118" s="5">
        <v>4.62271434718091</v>
      </c>
      <c r="E118" s="14">
        <f t="shared" si="3"/>
        <v>29.238191102951028</v>
      </c>
      <c r="F118" s="14">
        <f t="shared" si="4"/>
        <v>0.25825198545099681</v>
      </c>
      <c r="G118" s="14">
        <f t="shared" si="5"/>
        <v>-12.83320667909198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</row>
    <row r="119" spans="1:81" x14ac:dyDescent="0.2">
      <c r="A119" s="9">
        <v>45456</v>
      </c>
      <c r="B119" s="5">
        <v>4.3504390717431098</v>
      </c>
      <c r="C119" s="5">
        <v>4.1180264295415103</v>
      </c>
      <c r="D119" s="5">
        <v>4.6421450286806296</v>
      </c>
      <c r="E119" s="14">
        <f t="shared" si="3"/>
        <v>29.170595693751977</v>
      </c>
      <c r="F119" s="14">
        <f t="shared" si="4"/>
        <v>-6.7595409199050493E-2</v>
      </c>
      <c r="G119" s="14">
        <f t="shared" si="5"/>
        <v>1.3633233741880524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</row>
    <row r="120" spans="1:81" x14ac:dyDescent="0.2">
      <c r="A120" s="9">
        <v>45457</v>
      </c>
      <c r="B120" s="5">
        <v>4.2794237397485704</v>
      </c>
      <c r="C120" s="5">
        <v>4.0185838799870996</v>
      </c>
      <c r="D120" s="5">
        <v>4.53590318534114</v>
      </c>
      <c r="E120" s="14">
        <f t="shared" si="3"/>
        <v>25.647944559256963</v>
      </c>
      <c r="F120" s="14">
        <f t="shared" si="4"/>
        <v>-3.522651134495014</v>
      </c>
      <c r="G120" s="14">
        <f t="shared" si="5"/>
        <v>-9.9442549554410675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</row>
    <row r="121" spans="1:81" x14ac:dyDescent="0.2">
      <c r="A121" s="9">
        <v>45460</v>
      </c>
      <c r="B121" s="5">
        <v>4.3154487068564</v>
      </c>
      <c r="C121" s="5">
        <v>4.0764598019567799</v>
      </c>
      <c r="D121" s="5">
        <v>4.59525601140784</v>
      </c>
      <c r="E121" s="14">
        <f t="shared" si="3"/>
        <v>27.980730455143998</v>
      </c>
      <c r="F121" s="14">
        <f t="shared" si="4"/>
        <v>2.3327858958870351</v>
      </c>
      <c r="G121" s="14">
        <f t="shared" si="5"/>
        <v>5.7875921969680277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</row>
    <row r="122" spans="1:81" x14ac:dyDescent="0.2">
      <c r="A122" s="9">
        <v>45461</v>
      </c>
      <c r="B122" s="5">
        <v>4.2660485205080203</v>
      </c>
      <c r="C122" s="5">
        <v>4.0313832063485302</v>
      </c>
      <c r="D122" s="5">
        <v>4.5379212436853704</v>
      </c>
      <c r="E122" s="14">
        <f t="shared" si="3"/>
        <v>27.187272317735012</v>
      </c>
      <c r="F122" s="14">
        <f t="shared" si="4"/>
        <v>-0.79345813740898663</v>
      </c>
      <c r="G122" s="14">
        <f t="shared" si="5"/>
        <v>-4.5076595608249725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</row>
    <row r="123" spans="1:81" x14ac:dyDescent="0.2">
      <c r="A123" s="9">
        <v>45462</v>
      </c>
      <c r="B123" s="5">
        <v>4.2856976123888897</v>
      </c>
      <c r="C123" s="5">
        <v>4.0494709632282602</v>
      </c>
      <c r="D123" s="5">
        <v>4.55739815942625</v>
      </c>
      <c r="E123" s="14">
        <f t="shared" si="3"/>
        <v>27.170054703736035</v>
      </c>
      <c r="F123" s="14">
        <f t="shared" si="4"/>
        <v>-1.7217613998976589E-2</v>
      </c>
      <c r="G123" s="14">
        <f t="shared" si="5"/>
        <v>1.8087756879729966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</row>
    <row r="124" spans="1:81" x14ac:dyDescent="0.2">
      <c r="A124" s="9">
        <v>45463</v>
      </c>
      <c r="B124" s="5">
        <v>4.2384653461818296</v>
      </c>
      <c r="C124" s="5">
        <v>4.03512567633181</v>
      </c>
      <c r="D124" s="5">
        <v>4.5711898899572896</v>
      </c>
      <c r="E124" s="14">
        <f t="shared" si="3"/>
        <v>33.272454377545998</v>
      </c>
      <c r="F124" s="14">
        <f t="shared" si="4"/>
        <v>6.1023996738099626</v>
      </c>
      <c r="G124" s="14">
        <f t="shared" si="5"/>
        <v>-1.4345286896450204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</row>
    <row r="125" spans="1:81" x14ac:dyDescent="0.2">
      <c r="A125" s="9">
        <v>45464</v>
      </c>
      <c r="B125" s="5">
        <v>4.2529706700796597</v>
      </c>
      <c r="C125" s="5">
        <v>4.0537646548791697</v>
      </c>
      <c r="D125" s="5">
        <v>4.5844189641538602</v>
      </c>
      <c r="E125" s="14">
        <f t="shared" si="3"/>
        <v>33.144829407420048</v>
      </c>
      <c r="F125" s="14">
        <f t="shared" si="4"/>
        <v>-0.1276249701259502</v>
      </c>
      <c r="G125" s="14">
        <f t="shared" si="5"/>
        <v>1.8638978547359741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</row>
    <row r="126" spans="1:81" x14ac:dyDescent="0.2">
      <c r="A126" s="9">
        <v>45467</v>
      </c>
      <c r="B126" s="5">
        <v>4.2715921676489801</v>
      </c>
      <c r="C126" s="5">
        <v>4.0571163061545601</v>
      </c>
      <c r="D126" s="5">
        <v>4.5854476212591404</v>
      </c>
      <c r="E126" s="14">
        <f t="shared" si="3"/>
        <v>31.385545361016032</v>
      </c>
      <c r="F126" s="14">
        <f t="shared" si="4"/>
        <v>-1.7592840464040158</v>
      </c>
      <c r="G126" s="14">
        <f t="shared" si="5"/>
        <v>0.33516512753903882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</row>
    <row r="127" spans="1:81" x14ac:dyDescent="0.2">
      <c r="A127" s="9">
        <v>45468</v>
      </c>
      <c r="B127" s="5">
        <v>4.2700410554828601</v>
      </c>
      <c r="C127" s="5">
        <v>4.0438680346595497</v>
      </c>
      <c r="D127" s="5">
        <v>4.5621228336455104</v>
      </c>
      <c r="E127" s="14">
        <f t="shared" si="3"/>
        <v>29.208177816265035</v>
      </c>
      <c r="F127" s="14">
        <f t="shared" si="4"/>
        <v>-2.1773675447509966</v>
      </c>
      <c r="G127" s="14">
        <f t="shared" si="5"/>
        <v>-1.32482714950104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</row>
    <row r="128" spans="1:81" x14ac:dyDescent="0.2">
      <c r="A128" s="9">
        <v>45469</v>
      </c>
      <c r="B128" s="5">
        <v>4.3278353608242499</v>
      </c>
      <c r="C128" s="5">
        <v>4.1105881473632504</v>
      </c>
      <c r="D128" s="5">
        <v>4.6202765376168804</v>
      </c>
      <c r="E128" s="14">
        <f t="shared" si="3"/>
        <v>29.244117679263049</v>
      </c>
      <c r="F128" s="14">
        <f t="shared" si="4"/>
        <v>3.5939862998013439E-2</v>
      </c>
      <c r="G128" s="14">
        <f t="shared" si="5"/>
        <v>6.6720112703700707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</row>
    <row r="129" spans="1:81" x14ac:dyDescent="0.2">
      <c r="A129" s="9">
        <v>45470</v>
      </c>
      <c r="B129" s="5">
        <v>4.3240759815245697</v>
      </c>
      <c r="C129" s="5">
        <v>4.1053977411201403</v>
      </c>
      <c r="D129" s="5">
        <v>4.6077831204096702</v>
      </c>
      <c r="E129" s="14">
        <f t="shared" si="3"/>
        <v>28.370713888510046</v>
      </c>
      <c r="F129" s="14">
        <f t="shared" si="4"/>
        <v>-0.87340379075300234</v>
      </c>
      <c r="G129" s="14">
        <f t="shared" si="5"/>
        <v>-0.51904062431100684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</row>
    <row r="130" spans="1:81" x14ac:dyDescent="0.2">
      <c r="A130" s="9">
        <v>45471</v>
      </c>
      <c r="B130" s="5">
        <v>4.3290721176352598</v>
      </c>
      <c r="C130" s="5">
        <v>4.1534065131741702</v>
      </c>
      <c r="D130" s="5">
        <v>4.6634848029223903</v>
      </c>
      <c r="E130" s="14">
        <f t="shared" si="3"/>
        <v>33.441268528713053</v>
      </c>
      <c r="F130" s="14">
        <f t="shared" si="4"/>
        <v>5.0705546402030066</v>
      </c>
      <c r="G130" s="14">
        <f t="shared" si="5"/>
        <v>4.8008772054029869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</row>
    <row r="131" spans="1:81" x14ac:dyDescent="0.2">
      <c r="A131" s="9">
        <v>45474</v>
      </c>
      <c r="B131" s="5">
        <v>4.36269175884983</v>
      </c>
      <c r="C131" s="5">
        <v>4.2510244780630302</v>
      </c>
      <c r="D131" s="5">
        <v>4.7664620406127103</v>
      </c>
      <c r="E131" s="14">
        <f t="shared" si="3"/>
        <v>40.377028176288036</v>
      </c>
      <c r="F131" s="14">
        <f t="shared" si="4"/>
        <v>6.935759647574983</v>
      </c>
      <c r="G131" s="14">
        <f t="shared" si="5"/>
        <v>9.7617964888859987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</row>
    <row r="132" spans="1:81" x14ac:dyDescent="0.2">
      <c r="A132" s="9">
        <v>45475</v>
      </c>
      <c r="B132" s="5">
        <v>4.3599083666712799</v>
      </c>
      <c r="C132" s="5">
        <v>4.2248596469202404</v>
      </c>
      <c r="D132" s="5">
        <v>4.7511252624473297</v>
      </c>
      <c r="E132" s="14">
        <f t="shared" si="3"/>
        <v>39.121689577604982</v>
      </c>
      <c r="F132" s="14">
        <f t="shared" si="4"/>
        <v>-1.2553385986830534</v>
      </c>
      <c r="G132" s="14">
        <f t="shared" si="5"/>
        <v>-2.616483114278978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</row>
    <row r="133" spans="1:81" x14ac:dyDescent="0.2">
      <c r="A133" s="9">
        <v>45476</v>
      </c>
      <c r="B133" s="5">
        <v>4.3087787307812997</v>
      </c>
      <c r="C133" s="5">
        <v>4.1376776712304801</v>
      </c>
      <c r="D133" s="5">
        <v>4.6559860176424204</v>
      </c>
      <c r="E133" s="14">
        <f t="shared" si="3"/>
        <v>34.720728686112068</v>
      </c>
      <c r="F133" s="14">
        <f t="shared" si="4"/>
        <v>-4.4009608914929146</v>
      </c>
      <c r="G133" s="14">
        <f t="shared" si="5"/>
        <v>-8.7181975689760272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</row>
    <row r="134" spans="1:81" x14ac:dyDescent="0.2">
      <c r="A134" s="9">
        <v>45477</v>
      </c>
      <c r="B134" s="5">
        <v>4.3369823816938702</v>
      </c>
      <c r="C134" s="5">
        <v>4.1770951016555502</v>
      </c>
      <c r="D134" s="5">
        <v>4.6885087973841904</v>
      </c>
      <c r="E134" s="14">
        <f t="shared" si="3"/>
        <v>35.152641569032014</v>
      </c>
      <c r="F134" s="14">
        <f t="shared" si="4"/>
        <v>0.43191288291994567</v>
      </c>
      <c r="G134" s="14">
        <f t="shared" si="5"/>
        <v>3.9417430425070066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</row>
    <row r="135" spans="1:81" x14ac:dyDescent="0.2">
      <c r="A135" s="9">
        <v>45478</v>
      </c>
      <c r="B135" s="5">
        <v>4.2779881795618904</v>
      </c>
      <c r="C135" s="5">
        <v>4.1037038674127597</v>
      </c>
      <c r="D135" s="5">
        <v>4.6291327653382996</v>
      </c>
      <c r="E135" s="14">
        <f t="shared" ref="E135:E198" si="6">(D135-B135)*100</f>
        <v>35.114458577640931</v>
      </c>
      <c r="F135" s="14">
        <f t="shared" si="4"/>
        <v>-3.8182991391082055E-2</v>
      </c>
      <c r="G135" s="14">
        <f t="shared" si="5"/>
        <v>-7.3391234242790482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</row>
    <row r="136" spans="1:81" x14ac:dyDescent="0.2">
      <c r="A136" s="9">
        <v>45481</v>
      </c>
      <c r="B136" s="5">
        <v>4.2673581200723696</v>
      </c>
      <c r="C136" s="5">
        <v>4.0865658885398304</v>
      </c>
      <c r="D136" s="5">
        <v>4.6213498871441798</v>
      </c>
      <c r="E136" s="14">
        <f t="shared" si="6"/>
        <v>35.399176707181027</v>
      </c>
      <c r="F136" s="14">
        <f t="shared" ref="F136:F199" si="7">E136-E135</f>
        <v>0.28471812954009579</v>
      </c>
      <c r="G136" s="14">
        <f t="shared" ref="G136:G199" si="8">(C136-C135)*100</f>
        <v>-1.7137978872929338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</row>
    <row r="137" spans="1:81" x14ac:dyDescent="0.2">
      <c r="A137" s="9">
        <v>45482</v>
      </c>
      <c r="B137" s="5">
        <v>4.2913194858260297</v>
      </c>
      <c r="C137" s="5">
        <v>4.1429495127947398</v>
      </c>
      <c r="D137" s="5">
        <v>4.6810145453779999</v>
      </c>
      <c r="E137" s="14">
        <f t="shared" si="6"/>
        <v>38.969505955197015</v>
      </c>
      <c r="F137" s="14">
        <f t="shared" si="7"/>
        <v>3.5703292480159874</v>
      </c>
      <c r="G137" s="14">
        <f t="shared" si="8"/>
        <v>5.6383624254909392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</row>
    <row r="138" spans="1:81" x14ac:dyDescent="0.2">
      <c r="A138" s="9">
        <v>45483</v>
      </c>
      <c r="B138" s="5">
        <v>4.2755798018593598</v>
      </c>
      <c r="C138" s="5">
        <v>4.1106243642832201</v>
      </c>
      <c r="D138" s="5">
        <v>4.65076121207517</v>
      </c>
      <c r="E138" s="14">
        <f t="shared" si="6"/>
        <v>37.518141021581016</v>
      </c>
      <c r="F138" s="14">
        <f t="shared" si="7"/>
        <v>-1.4513649336159986</v>
      </c>
      <c r="G138" s="14">
        <f t="shared" si="8"/>
        <v>-3.2325148511519686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</row>
    <row r="139" spans="1:81" x14ac:dyDescent="0.2">
      <c r="A139" s="9">
        <v>45484</v>
      </c>
      <c r="B139" s="5">
        <v>4.2167672262293197</v>
      </c>
      <c r="C139" s="5">
        <v>4.0550963004996898</v>
      </c>
      <c r="D139" s="5">
        <v>4.5940664991583198</v>
      </c>
      <c r="E139" s="14">
        <f t="shared" si="6"/>
        <v>37.729927292900015</v>
      </c>
      <c r="F139" s="14">
        <f t="shared" si="7"/>
        <v>0.2117862713189993</v>
      </c>
      <c r="G139" s="14">
        <f t="shared" si="8"/>
        <v>-5.5528063783530257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</row>
    <row r="140" spans="1:81" x14ac:dyDescent="0.2">
      <c r="A140" s="9">
        <v>45485</v>
      </c>
      <c r="B140" s="5">
        <v>4.2298513486455196</v>
      </c>
      <c r="C140" s="5">
        <v>4.0936177969821701</v>
      </c>
      <c r="D140" s="5">
        <v>4.6289943778645304</v>
      </c>
      <c r="E140" s="14">
        <f t="shared" si="6"/>
        <v>39.914302921901083</v>
      </c>
      <c r="F140" s="14">
        <f t="shared" si="7"/>
        <v>2.1843756290010674</v>
      </c>
      <c r="G140" s="14">
        <f t="shared" si="8"/>
        <v>3.8521496482480266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</row>
    <row r="141" spans="1:81" x14ac:dyDescent="0.2">
      <c r="A141" s="9">
        <v>45488</v>
      </c>
      <c r="B141" s="5">
        <v>4.2117508847861096</v>
      </c>
      <c r="C141" s="5">
        <v>4.0800928811487003</v>
      </c>
      <c r="D141" s="5">
        <v>4.6150193756615101</v>
      </c>
      <c r="E141" s="14">
        <f t="shared" si="6"/>
        <v>40.326849087540054</v>
      </c>
      <c r="F141" s="14">
        <f t="shared" si="7"/>
        <v>0.41254616563897173</v>
      </c>
      <c r="G141" s="14">
        <f t="shared" si="8"/>
        <v>-1.3524915833469819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</row>
    <row r="142" spans="1:81" x14ac:dyDescent="0.2">
      <c r="A142" s="9">
        <v>45489</v>
      </c>
      <c r="B142" s="5">
        <v>4.17739228476756</v>
      </c>
      <c r="C142" s="5">
        <v>4.05279950526044</v>
      </c>
      <c r="D142" s="5">
        <v>4.5846768679457703</v>
      </c>
      <c r="E142" s="14">
        <f t="shared" si="6"/>
        <v>40.728458317821037</v>
      </c>
      <c r="F142" s="14">
        <f t="shared" si="7"/>
        <v>0.40160923028098239</v>
      </c>
      <c r="G142" s="14">
        <f t="shared" si="8"/>
        <v>-2.7293375888260307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</row>
    <row r="143" spans="1:81" x14ac:dyDescent="0.2">
      <c r="A143" s="9">
        <v>45490</v>
      </c>
      <c r="B143" s="5">
        <v>4.2060902330631498</v>
      </c>
      <c r="C143" s="5">
        <v>4.0577274614401304</v>
      </c>
      <c r="D143" s="5">
        <v>4.5759765612783099</v>
      </c>
      <c r="E143" s="14">
        <f t="shared" si="6"/>
        <v>36.988632821516006</v>
      </c>
      <c r="F143" s="14">
        <f t="shared" si="7"/>
        <v>-3.7398254963050306</v>
      </c>
      <c r="G143" s="14">
        <f t="shared" si="8"/>
        <v>0.49279561796904403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</row>
    <row r="144" spans="1:81" x14ac:dyDescent="0.2">
      <c r="A144" s="9">
        <v>45491</v>
      </c>
      <c r="B144" s="5">
        <v>4.1604907365063397</v>
      </c>
      <c r="C144" s="5">
        <v>4.0242673611667499</v>
      </c>
      <c r="D144" s="5">
        <v>4.5563597983757198</v>
      </c>
      <c r="E144" s="14">
        <f t="shared" si="6"/>
        <v>39.586906186938009</v>
      </c>
      <c r="F144" s="14">
        <f t="shared" si="7"/>
        <v>2.5982733654220027</v>
      </c>
      <c r="G144" s="14">
        <f t="shared" si="8"/>
        <v>-3.3460100273380533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</row>
    <row r="145" spans="1:81" x14ac:dyDescent="0.2">
      <c r="A145" s="9">
        <v>45492</v>
      </c>
      <c r="B145" s="5">
        <v>4.1928470574297698</v>
      </c>
      <c r="C145" s="5">
        <v>4.1025293584448503</v>
      </c>
      <c r="D145" s="5">
        <v>4.6437920202504701</v>
      </c>
      <c r="E145" s="14">
        <f t="shared" si="6"/>
        <v>45.094496282070025</v>
      </c>
      <c r="F145" s="14">
        <f t="shared" si="7"/>
        <v>5.5075900951320165</v>
      </c>
      <c r="G145" s="14">
        <f t="shared" si="8"/>
        <v>7.8261997278100459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</row>
    <row r="146" spans="1:81" x14ac:dyDescent="0.2">
      <c r="A146" s="9">
        <v>45495</v>
      </c>
      <c r="B146" s="5">
        <v>4.2327021048109801</v>
      </c>
      <c r="C146" s="5">
        <v>4.1172594041179504</v>
      </c>
      <c r="D146" s="5">
        <v>4.6559731979557597</v>
      </c>
      <c r="E146" s="14">
        <f t="shared" si="6"/>
        <v>42.327109314477966</v>
      </c>
      <c r="F146" s="14">
        <f t="shared" si="7"/>
        <v>-2.7673869675920599</v>
      </c>
      <c r="G146" s="14">
        <f t="shared" si="8"/>
        <v>1.4730045673100101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</row>
    <row r="147" spans="1:81" x14ac:dyDescent="0.2">
      <c r="A147" s="9">
        <v>45496</v>
      </c>
      <c r="B147" s="5">
        <v>4.2203536440761598</v>
      </c>
      <c r="C147" s="5">
        <v>4.11618196089485</v>
      </c>
      <c r="D147" s="5">
        <v>4.6573473167006103</v>
      </c>
      <c r="E147" s="14">
        <f t="shared" si="6"/>
        <v>43.699367262445051</v>
      </c>
      <c r="F147" s="14">
        <f t="shared" si="7"/>
        <v>1.3722579479670856</v>
      </c>
      <c r="G147" s="14">
        <f t="shared" si="8"/>
        <v>-0.10774432231004383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</row>
    <row r="148" spans="1:81" x14ac:dyDescent="0.2">
      <c r="A148" s="9">
        <v>45497</v>
      </c>
      <c r="B148" s="5">
        <v>4.1676056622944504</v>
      </c>
      <c r="C148" s="5">
        <v>4.1302000310332296</v>
      </c>
      <c r="D148" s="5">
        <v>4.6755164419548496</v>
      </c>
      <c r="E148" s="14">
        <f t="shared" si="6"/>
        <v>50.791077966039921</v>
      </c>
      <c r="F148" s="14">
        <f t="shared" si="7"/>
        <v>7.0917107035948703</v>
      </c>
      <c r="G148" s="14">
        <f t="shared" si="8"/>
        <v>1.4018070138379635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</row>
    <row r="149" spans="1:81" x14ac:dyDescent="0.2">
      <c r="A149" s="9">
        <v>45498</v>
      </c>
      <c r="B149" s="5">
        <v>4.1371200791682599</v>
      </c>
      <c r="C149" s="5">
        <v>4.1110089044279201</v>
      </c>
      <c r="D149" s="5">
        <v>4.68500167132337</v>
      </c>
      <c r="E149" s="14">
        <f t="shared" si="6"/>
        <v>54.788159215511016</v>
      </c>
      <c r="F149" s="14">
        <f t="shared" si="7"/>
        <v>3.9970812494710941</v>
      </c>
      <c r="G149" s="14">
        <f t="shared" si="8"/>
        <v>-1.9191126605309528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</row>
    <row r="150" spans="1:81" x14ac:dyDescent="0.2">
      <c r="A150" s="9">
        <v>45499</v>
      </c>
      <c r="B150" s="5">
        <v>4.1188847703665301</v>
      </c>
      <c r="C150" s="5">
        <v>4.0849425694750403</v>
      </c>
      <c r="D150" s="5">
        <v>4.6853290307595197</v>
      </c>
      <c r="E150" s="14">
        <f t="shared" si="6"/>
        <v>56.644426039298956</v>
      </c>
      <c r="F150" s="14">
        <f t="shared" si="7"/>
        <v>1.8562668237879407</v>
      </c>
      <c r="G150" s="14">
        <f t="shared" si="8"/>
        <v>-2.6066334952879799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</row>
    <row r="151" spans="1:81" x14ac:dyDescent="0.2">
      <c r="A151" s="9">
        <v>45502</v>
      </c>
      <c r="B151" s="5">
        <v>4.0779258373471698</v>
      </c>
      <c r="C151" s="5">
        <v>4.0317269153798003</v>
      </c>
      <c r="D151" s="5">
        <v>4.6388649977042897</v>
      </c>
      <c r="E151" s="14">
        <f t="shared" si="6"/>
        <v>56.093916035711985</v>
      </c>
      <c r="F151" s="14">
        <f t="shared" si="7"/>
        <v>-0.55051000358697166</v>
      </c>
      <c r="G151" s="14">
        <f t="shared" si="8"/>
        <v>-5.3215654095239984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</row>
    <row r="152" spans="1:81" x14ac:dyDescent="0.2">
      <c r="A152" s="9">
        <v>45503</v>
      </c>
      <c r="B152" s="5">
        <v>4.0749114404466198</v>
      </c>
      <c r="C152" s="5">
        <v>4.0268389849464201</v>
      </c>
      <c r="D152" s="5">
        <v>4.6217283493128596</v>
      </c>
      <c r="E152" s="14">
        <f t="shared" si="6"/>
        <v>54.681690886623983</v>
      </c>
      <c r="F152" s="14">
        <f t="shared" si="7"/>
        <v>-1.4122251490880018</v>
      </c>
      <c r="G152" s="14">
        <f t="shared" si="8"/>
        <v>-0.48879304333802054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</row>
    <row r="153" spans="1:81" x14ac:dyDescent="0.2">
      <c r="A153" s="9">
        <v>45504</v>
      </c>
      <c r="B153" s="5">
        <v>4.0248107908343398</v>
      </c>
      <c r="C153" s="5">
        <v>3.9720660733729498</v>
      </c>
      <c r="D153" s="5">
        <v>4.5759171625226802</v>
      </c>
      <c r="E153" s="14">
        <f t="shared" si="6"/>
        <v>55.110637168834046</v>
      </c>
      <c r="F153" s="14">
        <f t="shared" si="7"/>
        <v>0.42894628221006315</v>
      </c>
      <c r="G153" s="14">
        <f t="shared" si="8"/>
        <v>-5.4772911573470306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</row>
    <row r="154" spans="1:81" x14ac:dyDescent="0.2">
      <c r="A154" s="9">
        <v>45505</v>
      </c>
      <c r="B154" s="5">
        <v>3.9248722273120502</v>
      </c>
      <c r="C154" s="5">
        <v>3.8610250971870399</v>
      </c>
      <c r="D154" s="5">
        <v>4.4967391579985199</v>
      </c>
      <c r="E154" s="14">
        <f t="shared" si="6"/>
        <v>57.186693068646967</v>
      </c>
      <c r="F154" s="14">
        <f t="shared" si="7"/>
        <v>2.0760558998129213</v>
      </c>
      <c r="G154" s="14">
        <f t="shared" si="8"/>
        <v>-11.104097618590991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</row>
    <row r="155" spans="1:81" x14ac:dyDescent="0.2">
      <c r="A155" s="9">
        <v>45506</v>
      </c>
      <c r="B155" s="5">
        <v>3.84984182813632</v>
      </c>
      <c r="C155" s="5">
        <v>3.8364111748926901</v>
      </c>
      <c r="D155" s="5">
        <v>4.4824564217811496</v>
      </c>
      <c r="E155" s="14">
        <f t="shared" si="6"/>
        <v>63.261459364482953</v>
      </c>
      <c r="F155" s="14">
        <f t="shared" si="7"/>
        <v>6.0747662958359854</v>
      </c>
      <c r="G155" s="14">
        <f t="shared" si="8"/>
        <v>-2.4613922294349777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</row>
    <row r="156" spans="1:81" x14ac:dyDescent="0.2">
      <c r="A156" s="9">
        <v>45509</v>
      </c>
      <c r="B156" s="5">
        <v>3.8367233529801998</v>
      </c>
      <c r="C156" s="5">
        <v>3.8450792984573399</v>
      </c>
      <c r="D156" s="5">
        <v>4.4770941731396601</v>
      </c>
      <c r="E156" s="14">
        <f t="shared" si="6"/>
        <v>64.037082015946027</v>
      </c>
      <c r="F156" s="14">
        <f t="shared" si="7"/>
        <v>0.77562265146307396</v>
      </c>
      <c r="G156" s="14">
        <f t="shared" si="8"/>
        <v>0.86681235646497434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</row>
    <row r="157" spans="1:81" x14ac:dyDescent="0.2">
      <c r="A157" s="9">
        <v>45510</v>
      </c>
      <c r="B157" s="5">
        <v>3.8928548725180701</v>
      </c>
      <c r="C157" s="5">
        <v>3.9000004797127401</v>
      </c>
      <c r="D157" s="5">
        <v>4.5102252398130798</v>
      </c>
      <c r="E157" s="14">
        <f t="shared" si="6"/>
        <v>61.737036729500971</v>
      </c>
      <c r="F157" s="14">
        <f t="shared" si="7"/>
        <v>-2.3000452864450551</v>
      </c>
      <c r="G157" s="14">
        <f t="shared" si="8"/>
        <v>5.4921181255400242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</row>
    <row r="158" spans="1:81" x14ac:dyDescent="0.2">
      <c r="A158" s="9">
        <v>45511</v>
      </c>
      <c r="B158" s="5">
        <v>3.9090298469626399</v>
      </c>
      <c r="C158" s="5">
        <v>3.9515334806846201</v>
      </c>
      <c r="D158" s="5">
        <v>4.5649926359837103</v>
      </c>
      <c r="E158" s="14">
        <f t="shared" si="6"/>
        <v>65.596278902107045</v>
      </c>
      <c r="F158" s="14">
        <f t="shared" si="7"/>
        <v>3.8592421726060735</v>
      </c>
      <c r="G158" s="14">
        <f t="shared" si="8"/>
        <v>5.1533000971879961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</row>
    <row r="159" spans="1:81" x14ac:dyDescent="0.2">
      <c r="A159" s="9">
        <v>45512</v>
      </c>
      <c r="B159" s="5">
        <v>3.9042818485524902</v>
      </c>
      <c r="C159" s="5">
        <v>3.9570532271490699</v>
      </c>
      <c r="D159" s="5">
        <v>4.5596728994165403</v>
      </c>
      <c r="E159" s="14">
        <f t="shared" si="6"/>
        <v>65.539105086405016</v>
      </c>
      <c r="F159" s="14">
        <f t="shared" si="7"/>
        <v>-5.7173815702029174E-2</v>
      </c>
      <c r="G159" s="14">
        <f t="shared" si="8"/>
        <v>0.55197464644498595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</row>
    <row r="160" spans="1:81" ht="16" x14ac:dyDescent="0.2">
      <c r="A160" s="9">
        <v>45513</v>
      </c>
      <c r="B160" s="7">
        <v>3.8992743091571498</v>
      </c>
      <c r="C160" s="7">
        <v>3.9293226008414801</v>
      </c>
      <c r="D160" s="7">
        <v>4.5432310226335497</v>
      </c>
      <c r="E160" s="15">
        <f t="shared" si="6"/>
        <v>64.39567134763999</v>
      </c>
      <c r="F160" s="15">
        <f t="shared" si="7"/>
        <v>-1.143433738765026</v>
      </c>
      <c r="G160" s="15">
        <f t="shared" si="8"/>
        <v>-2.7730626307589823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</row>
    <row r="161" spans="1:81" ht="16" x14ac:dyDescent="0.2">
      <c r="A161" s="9">
        <v>45516</v>
      </c>
      <c r="B161" s="7">
        <v>3.9033849333900199</v>
      </c>
      <c r="C161" s="7">
        <v>3.9252499248260602</v>
      </c>
      <c r="D161" s="7">
        <v>4.5431989970697604</v>
      </c>
      <c r="E161" s="15">
        <f t="shared" si="6"/>
        <v>63.981406367974046</v>
      </c>
      <c r="F161" s="15">
        <f t="shared" si="7"/>
        <v>-0.41426497966594411</v>
      </c>
      <c r="G161" s="15">
        <f t="shared" si="8"/>
        <v>-0.40726760154199404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</row>
    <row r="162" spans="1:81" ht="16" x14ac:dyDescent="0.2">
      <c r="A162" s="9">
        <v>45517</v>
      </c>
      <c r="B162" s="7">
        <v>3.8530162397372001</v>
      </c>
      <c r="C162" s="7">
        <v>3.8686050073895002</v>
      </c>
      <c r="D162" s="7">
        <v>4.4958674200231004</v>
      </c>
      <c r="E162" s="15">
        <f t="shared" si="6"/>
        <v>64.285118028590034</v>
      </c>
      <c r="F162" s="15">
        <f t="shared" si="7"/>
        <v>0.30371166061598842</v>
      </c>
      <c r="G162" s="15">
        <f t="shared" si="8"/>
        <v>-5.6644917436559972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</row>
    <row r="163" spans="1:81" ht="16" x14ac:dyDescent="0.2">
      <c r="A163" s="9">
        <v>45518</v>
      </c>
      <c r="B163" s="7">
        <v>3.81413215608067</v>
      </c>
      <c r="C163" s="7">
        <v>3.81121020985954</v>
      </c>
      <c r="D163" s="7">
        <v>4.4344597697995196</v>
      </c>
      <c r="E163" s="15">
        <f t="shared" si="6"/>
        <v>62.032761371884959</v>
      </c>
      <c r="F163" s="15">
        <f t="shared" si="7"/>
        <v>-2.252356656705075</v>
      </c>
      <c r="G163" s="15">
        <f t="shared" si="8"/>
        <v>-5.739479752996024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</row>
    <row r="164" spans="1:81" ht="16" x14ac:dyDescent="0.2">
      <c r="A164" s="9">
        <v>45519</v>
      </c>
      <c r="B164" s="7">
        <v>3.90762292411245</v>
      </c>
      <c r="C164" s="7">
        <v>3.9111433775875599</v>
      </c>
      <c r="D164" s="7">
        <v>4.5149387791998699</v>
      </c>
      <c r="E164" s="15">
        <f t="shared" si="6"/>
        <v>60.731585508741979</v>
      </c>
      <c r="F164" s="15">
        <f t="shared" si="7"/>
        <v>-1.3011758631429799</v>
      </c>
      <c r="G164" s="15">
        <f t="shared" si="8"/>
        <v>9.9933167728019967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</row>
    <row r="165" spans="1:81" ht="16" x14ac:dyDescent="0.2">
      <c r="A165" s="9">
        <v>45520</v>
      </c>
      <c r="B165" s="7">
        <v>3.93517548115913</v>
      </c>
      <c r="C165" s="7">
        <v>3.9094566013507102</v>
      </c>
      <c r="D165" s="7">
        <v>4.4950530719739499</v>
      </c>
      <c r="E165" s="15">
        <f t="shared" si="6"/>
        <v>55.98775908148199</v>
      </c>
      <c r="F165" s="15">
        <f t="shared" si="7"/>
        <v>-4.7438264272599895</v>
      </c>
      <c r="G165" s="15">
        <f t="shared" si="8"/>
        <v>-0.1686776236849763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</row>
    <row r="166" spans="1:81" x14ac:dyDescent="0.2">
      <c r="A166" s="9">
        <v>45523</v>
      </c>
      <c r="B166" s="1">
        <v>3.9696191522788702</v>
      </c>
      <c r="C166" s="1">
        <v>3.9267168827640702</v>
      </c>
      <c r="D166" s="1">
        <v>4.5062415977119397</v>
      </c>
      <c r="E166" s="13">
        <f t="shared" si="6"/>
        <v>53.662244543306947</v>
      </c>
      <c r="F166" s="13">
        <f t="shared" si="7"/>
        <v>-2.3255145381750424</v>
      </c>
      <c r="G166" s="13">
        <f t="shared" si="8"/>
        <v>1.7260281413360001</v>
      </c>
    </row>
    <row r="167" spans="1:81" x14ac:dyDescent="0.2">
      <c r="A167" s="9">
        <v>45524</v>
      </c>
      <c r="B167" s="1">
        <v>3.9454515289345902</v>
      </c>
      <c r="C167" s="1">
        <v>3.8990835889436899</v>
      </c>
      <c r="D167" s="1">
        <v>4.4825176061557999</v>
      </c>
      <c r="E167" s="13">
        <f t="shared" si="6"/>
        <v>53.706607722120971</v>
      </c>
      <c r="F167" s="13">
        <f t="shared" si="7"/>
        <v>4.436317881402374E-2</v>
      </c>
      <c r="G167" s="13">
        <f t="shared" si="8"/>
        <v>-2.7633293820380267</v>
      </c>
    </row>
    <row r="168" spans="1:81" x14ac:dyDescent="0.2">
      <c r="A168" s="9">
        <v>45525</v>
      </c>
      <c r="B168" s="1">
        <v>3.9290678959094798</v>
      </c>
      <c r="C168" s="1">
        <v>3.8863424162812801</v>
      </c>
      <c r="D168" s="1">
        <v>4.4772738022173897</v>
      </c>
      <c r="E168" s="13">
        <f t="shared" si="6"/>
        <v>54.820590630790988</v>
      </c>
      <c r="F168" s="13">
        <f t="shared" si="7"/>
        <v>1.1139829086700175</v>
      </c>
      <c r="G168" s="13">
        <f t="shared" si="8"/>
        <v>-1.2741172662409816</v>
      </c>
    </row>
    <row r="169" spans="1:81" x14ac:dyDescent="0.2">
      <c r="A169" s="9">
        <v>45526</v>
      </c>
      <c r="B169" s="1">
        <v>3.97832177719105</v>
      </c>
      <c r="C169" s="1">
        <v>3.9477862062033799</v>
      </c>
      <c r="D169" s="1">
        <v>4.53833412565539</v>
      </c>
      <c r="E169" s="13">
        <f t="shared" si="6"/>
        <v>56.001234846434002</v>
      </c>
      <c r="F169" s="13">
        <f t="shared" si="7"/>
        <v>1.1806442156430137</v>
      </c>
      <c r="G169" s="13">
        <f t="shared" si="8"/>
        <v>6.1443789922099867</v>
      </c>
    </row>
    <row r="170" spans="1:81" x14ac:dyDescent="0.2">
      <c r="A170" s="9">
        <v>45527</v>
      </c>
      <c r="B170" s="1">
        <v>3.9282099135014299</v>
      </c>
      <c r="C170" s="1">
        <v>3.8963945839438101</v>
      </c>
      <c r="D170" s="1">
        <v>4.4812630061929699</v>
      </c>
      <c r="E170" s="13">
        <f t="shared" si="6"/>
        <v>55.305309269154002</v>
      </c>
      <c r="F170" s="13">
        <f t="shared" si="7"/>
        <v>-0.6959255772800006</v>
      </c>
      <c r="G170" s="13">
        <f t="shared" si="8"/>
        <v>-5.1391622259569836</v>
      </c>
    </row>
    <row r="171" spans="1:81" x14ac:dyDescent="0.2">
      <c r="A171" s="9">
        <v>45531</v>
      </c>
      <c r="B171" s="1">
        <v>3.9684838537014402</v>
      </c>
      <c r="C171" s="1">
        <v>3.9632112869287699</v>
      </c>
      <c r="D171" s="1">
        <v>4.5437072106259704</v>
      </c>
      <c r="E171" s="13">
        <f t="shared" si="6"/>
        <v>57.522335692453019</v>
      </c>
      <c r="F171" s="13">
        <f t="shared" si="7"/>
        <v>2.2170264232990178</v>
      </c>
      <c r="G171" s="13">
        <f t="shared" si="8"/>
        <v>6.6816702984959786</v>
      </c>
    </row>
    <row r="172" spans="1:81" x14ac:dyDescent="0.2">
      <c r="A172" s="9">
        <v>45532</v>
      </c>
      <c r="B172" s="1">
        <v>3.9748679416617199</v>
      </c>
      <c r="C172" s="1">
        <v>3.96929399482294</v>
      </c>
      <c r="D172" s="1">
        <v>4.5556021723338596</v>
      </c>
      <c r="E172" s="13">
        <f t="shared" si="6"/>
        <v>58.073423067213966</v>
      </c>
      <c r="F172" s="13">
        <f t="shared" si="7"/>
        <v>0.5510873747609466</v>
      </c>
      <c r="G172" s="13">
        <f t="shared" si="8"/>
        <v>0.60827078941700918</v>
      </c>
    </row>
    <row r="173" spans="1:81" x14ac:dyDescent="0.2">
      <c r="A173" s="9">
        <v>45533</v>
      </c>
      <c r="B173" s="1">
        <v>3.9752529729396602</v>
      </c>
      <c r="C173" s="1">
        <v>3.99032830118463</v>
      </c>
      <c r="D173" s="1">
        <v>4.5856338458610297</v>
      </c>
      <c r="E173" s="13">
        <f t="shared" si="6"/>
        <v>61.038087292136957</v>
      </c>
      <c r="F173" s="13">
        <f t="shared" si="7"/>
        <v>2.9646642249229913</v>
      </c>
      <c r="G173" s="13">
        <f t="shared" si="8"/>
        <v>2.1034306361690014</v>
      </c>
    </row>
    <row r="174" spans="1:81" x14ac:dyDescent="0.2">
      <c r="A174" s="9">
        <v>45534</v>
      </c>
      <c r="B174" s="1">
        <v>3.9569924842588802</v>
      </c>
      <c r="C174" s="1">
        <v>3.9710068947697899</v>
      </c>
      <c r="D174" s="1">
        <v>4.5544407462166703</v>
      </c>
      <c r="E174" s="13">
        <f t="shared" si="6"/>
        <v>59.744826195779012</v>
      </c>
      <c r="F174" s="13">
        <f t="shared" si="7"/>
        <v>-1.293261096357945</v>
      </c>
      <c r="G174" s="13">
        <f t="shared" si="8"/>
        <v>-1.9321406414840148</v>
      </c>
    </row>
    <row r="175" spans="1:81" x14ac:dyDescent="0.2">
      <c r="A175" s="9">
        <v>45537</v>
      </c>
      <c r="B175" s="1">
        <v>3.9736319500052399</v>
      </c>
      <c r="C175" s="1">
        <v>4.0197097086084197</v>
      </c>
      <c r="D175" s="1">
        <v>4.5961684148662796</v>
      </c>
      <c r="E175" s="13">
        <f t="shared" si="6"/>
        <v>62.25364648610396</v>
      </c>
      <c r="F175" s="13">
        <f t="shared" si="7"/>
        <v>2.5088202903249481</v>
      </c>
      <c r="G175" s="13">
        <f t="shared" si="8"/>
        <v>4.8702813838629844</v>
      </c>
    </row>
    <row r="176" spans="1:81" x14ac:dyDescent="0.2">
      <c r="A176" s="9">
        <v>45538</v>
      </c>
      <c r="B176" s="1">
        <v>3.9428177630883599</v>
      </c>
      <c r="C176" s="1">
        <v>3.9499903425285199</v>
      </c>
      <c r="D176" s="1">
        <v>4.5365708340312496</v>
      </c>
      <c r="E176" s="13">
        <f t="shared" si="6"/>
        <v>59.375307094288978</v>
      </c>
      <c r="F176" s="13">
        <f t="shared" si="7"/>
        <v>-2.8783393918149827</v>
      </c>
      <c r="G176" s="13">
        <f t="shared" si="8"/>
        <v>-6.9719366079899814</v>
      </c>
    </row>
    <row r="177" spans="1:7" x14ac:dyDescent="0.2">
      <c r="A177" s="9">
        <v>45539</v>
      </c>
      <c r="B177" s="1">
        <v>3.8851962507632698</v>
      </c>
      <c r="C177" s="1">
        <v>3.8975184895738502</v>
      </c>
      <c r="D177" s="1">
        <v>4.4935657289970399</v>
      </c>
      <c r="E177" s="13">
        <f t="shared" si="6"/>
        <v>60.83694782337701</v>
      </c>
      <c r="F177" s="13">
        <f t="shared" si="7"/>
        <v>1.4616407290880318</v>
      </c>
      <c r="G177" s="13">
        <f t="shared" si="8"/>
        <v>-5.2471852954669718</v>
      </c>
    </row>
    <row r="178" spans="1:7" x14ac:dyDescent="0.2">
      <c r="A178" s="9">
        <v>45540</v>
      </c>
      <c r="B178" s="1">
        <v>3.8719207294217401</v>
      </c>
      <c r="C178" s="1">
        <v>3.89164897241207</v>
      </c>
      <c r="D178" s="1">
        <v>4.4824051069355297</v>
      </c>
      <c r="E178" s="13">
        <f t="shared" si="6"/>
        <v>61.048437751378955</v>
      </c>
      <c r="F178" s="13">
        <f t="shared" si="7"/>
        <v>0.21148992800194577</v>
      </c>
      <c r="G178" s="13">
        <f t="shared" si="8"/>
        <v>-0.58695171617801911</v>
      </c>
    </row>
    <row r="179" spans="1:7" x14ac:dyDescent="0.2">
      <c r="A179" s="9">
        <v>45541</v>
      </c>
      <c r="B179" s="1">
        <v>3.8152981545217499</v>
      </c>
      <c r="C179" s="1">
        <v>3.8569792073966802</v>
      </c>
      <c r="D179" s="1">
        <v>4.4700888430878596</v>
      </c>
      <c r="E179" s="13">
        <f t="shared" si="6"/>
        <v>65.479068856610965</v>
      </c>
      <c r="F179" s="13">
        <f t="shared" si="7"/>
        <v>4.4306311052320098</v>
      </c>
      <c r="G179" s="13">
        <f t="shared" si="8"/>
        <v>-3.4669765015389764</v>
      </c>
    </row>
    <row r="180" spans="1:7" x14ac:dyDescent="0.2">
      <c r="A180" s="9">
        <v>45544</v>
      </c>
      <c r="B180" s="1">
        <v>3.7557124673043698</v>
      </c>
      <c r="C180" s="1">
        <v>3.8396150904144002</v>
      </c>
      <c r="D180" s="1">
        <v>4.47736708290791</v>
      </c>
      <c r="E180" s="13">
        <f t="shared" si="6"/>
        <v>72.165461560354018</v>
      </c>
      <c r="F180" s="13">
        <f t="shared" si="7"/>
        <v>6.6863927037430528</v>
      </c>
      <c r="G180" s="13">
        <f t="shared" si="8"/>
        <v>-1.736411698228002</v>
      </c>
    </row>
    <row r="181" spans="1:7" x14ac:dyDescent="0.2">
      <c r="A181" s="9">
        <v>45545</v>
      </c>
      <c r="B181" s="1">
        <v>3.74748906559438</v>
      </c>
      <c r="C181" s="1">
        <v>3.8099361459967098</v>
      </c>
      <c r="D181" s="1">
        <v>4.4633030142769803</v>
      </c>
      <c r="E181" s="13">
        <f t="shared" si="6"/>
        <v>71.581394868260034</v>
      </c>
      <c r="F181" s="13">
        <f t="shared" si="7"/>
        <v>-0.58406669209398387</v>
      </c>
      <c r="G181" s="13">
        <f t="shared" si="8"/>
        <v>-2.9678944417690367</v>
      </c>
    </row>
    <row r="182" spans="1:7" x14ac:dyDescent="0.2">
      <c r="A182" s="9">
        <v>45546</v>
      </c>
      <c r="B182" s="1">
        <v>3.6597268151633999</v>
      </c>
      <c r="C182" s="1">
        <v>3.7245187839634899</v>
      </c>
      <c r="D182" s="1">
        <v>4.4264507087749196</v>
      </c>
      <c r="E182" s="13">
        <f t="shared" si="6"/>
        <v>76.672389361151971</v>
      </c>
      <c r="F182" s="13">
        <f t="shared" si="7"/>
        <v>5.0909944928919373</v>
      </c>
      <c r="G182" s="13">
        <f t="shared" si="8"/>
        <v>-8.5417362033219923</v>
      </c>
    </row>
    <row r="183" spans="1:7" x14ac:dyDescent="0.2">
      <c r="A183" s="9">
        <v>45547</v>
      </c>
      <c r="B183" s="1">
        <v>3.70218214782843</v>
      </c>
      <c r="C183" s="1">
        <v>3.7585133100286998</v>
      </c>
      <c r="D183" s="1">
        <v>4.4475210264200999</v>
      </c>
      <c r="E183" s="13">
        <f t="shared" si="6"/>
        <v>74.533887859166995</v>
      </c>
      <c r="F183" s="13">
        <f t="shared" si="7"/>
        <v>-2.138501501984976</v>
      </c>
      <c r="G183" s="13">
        <f t="shared" si="8"/>
        <v>3.3994526065209918</v>
      </c>
    </row>
    <row r="184" spans="1:7" x14ac:dyDescent="0.2">
      <c r="A184" s="9">
        <v>45548</v>
      </c>
      <c r="B184" s="1">
        <v>3.6844316337814802</v>
      </c>
      <c r="C184" s="1">
        <v>3.7498801874500698</v>
      </c>
      <c r="D184" s="1">
        <v>4.4278935802205002</v>
      </c>
      <c r="E184" s="13">
        <f t="shared" si="6"/>
        <v>74.346194643901995</v>
      </c>
      <c r="F184" s="13">
        <f t="shared" si="7"/>
        <v>-0.18769321526499994</v>
      </c>
      <c r="G184" s="13">
        <f t="shared" si="8"/>
        <v>-0.86331225786300259</v>
      </c>
    </row>
    <row r="185" spans="1:7" x14ac:dyDescent="0.2">
      <c r="A185" s="9">
        <v>45551</v>
      </c>
      <c r="B185" s="1">
        <v>3.66103155212538</v>
      </c>
      <c r="C185" s="1">
        <v>3.7343572620032899</v>
      </c>
      <c r="D185" s="1">
        <v>4.4089816118335001</v>
      </c>
      <c r="E185" s="13">
        <f t="shared" si="6"/>
        <v>74.795005970812014</v>
      </c>
      <c r="F185" s="13">
        <f t="shared" si="7"/>
        <v>0.44881132691001824</v>
      </c>
      <c r="G185" s="13">
        <f t="shared" si="8"/>
        <v>-1.5522925446779912</v>
      </c>
    </row>
    <row r="186" spans="1:7" x14ac:dyDescent="0.2">
      <c r="A186" s="9">
        <v>45552</v>
      </c>
      <c r="B186" s="1">
        <v>3.6981623658021299</v>
      </c>
      <c r="C186" s="1">
        <v>3.7487307282868998</v>
      </c>
      <c r="D186" s="1">
        <v>4.4150321192665096</v>
      </c>
      <c r="E186" s="13">
        <f t="shared" si="6"/>
        <v>71.686975346437976</v>
      </c>
      <c r="F186" s="13">
        <f t="shared" si="7"/>
        <v>-3.1080306243740381</v>
      </c>
      <c r="G186" s="13">
        <f t="shared" si="8"/>
        <v>1.4373466283609915</v>
      </c>
    </row>
    <row r="187" spans="1:7" x14ac:dyDescent="0.2">
      <c r="A187" s="9">
        <v>45553</v>
      </c>
      <c r="B187" s="1">
        <v>3.76857700465498</v>
      </c>
      <c r="C187" s="1">
        <v>3.8253512723709502</v>
      </c>
      <c r="D187" s="1">
        <v>4.4686108582947899</v>
      </c>
      <c r="E187" s="13">
        <f t="shared" si="6"/>
        <v>70.003385363980982</v>
      </c>
      <c r="F187" s="13">
        <f t="shared" si="7"/>
        <v>-1.6835899824569935</v>
      </c>
      <c r="G187" s="13">
        <f t="shared" si="8"/>
        <v>7.662054408405039</v>
      </c>
    </row>
    <row r="188" spans="1:7" x14ac:dyDescent="0.2">
      <c r="A188" s="9">
        <v>45554</v>
      </c>
      <c r="B188" s="1">
        <v>3.7856652723822402</v>
      </c>
      <c r="C188" s="1">
        <v>3.8668431397622398</v>
      </c>
      <c r="D188" s="1">
        <v>4.5137936903359899</v>
      </c>
      <c r="E188" s="13">
        <f t="shared" si="6"/>
        <v>72.812841795374965</v>
      </c>
      <c r="F188" s="13">
        <f t="shared" si="7"/>
        <v>2.8094564313939827</v>
      </c>
      <c r="G188" s="13">
        <f t="shared" si="8"/>
        <v>4.1491867391289627</v>
      </c>
    </row>
    <row r="189" spans="1:7" x14ac:dyDescent="0.2">
      <c r="A189" s="9">
        <v>45555</v>
      </c>
      <c r="B189" s="1">
        <v>3.80380438655863</v>
      </c>
      <c r="C189" s="1">
        <v>3.8943361600028998</v>
      </c>
      <c r="D189" s="1">
        <v>4.5367646247872502</v>
      </c>
      <c r="E189" s="13">
        <f t="shared" si="6"/>
        <v>73.296023822862026</v>
      </c>
      <c r="F189" s="13">
        <f t="shared" si="7"/>
        <v>0.48318202748706085</v>
      </c>
      <c r="G189" s="13">
        <f t="shared" si="8"/>
        <v>2.7493020240660027</v>
      </c>
    </row>
    <row r="190" spans="1:7" x14ac:dyDescent="0.2">
      <c r="A190" s="9">
        <v>45558</v>
      </c>
      <c r="B190" s="1">
        <v>3.7983740773784298</v>
      </c>
      <c r="C190" s="1">
        <v>3.9149100857780299</v>
      </c>
      <c r="D190" s="1">
        <v>4.5588826694997202</v>
      </c>
      <c r="E190" s="13">
        <f t="shared" si="6"/>
        <v>76.050859212129041</v>
      </c>
      <c r="F190" s="13">
        <f t="shared" si="7"/>
        <v>2.754835389267015</v>
      </c>
      <c r="G190" s="13">
        <f t="shared" si="8"/>
        <v>2.0573925775130064</v>
      </c>
    </row>
    <row r="191" spans="1:7" x14ac:dyDescent="0.2">
      <c r="A191" s="9">
        <v>45559</v>
      </c>
      <c r="B191" s="1">
        <v>3.7754379702902101</v>
      </c>
      <c r="C191" s="1">
        <v>3.91457311442284</v>
      </c>
      <c r="D191" s="1">
        <v>4.5562947870145196</v>
      </c>
      <c r="E191" s="13">
        <f t="shared" si="6"/>
        <v>78.085681672430951</v>
      </c>
      <c r="F191" s="13">
        <f t="shared" si="7"/>
        <v>2.0348224603019105</v>
      </c>
      <c r="G191" s="13">
        <f t="shared" si="8"/>
        <v>-3.3697135518995225E-2</v>
      </c>
    </row>
    <row r="192" spans="1:7" x14ac:dyDescent="0.2">
      <c r="A192" s="9">
        <v>45560</v>
      </c>
      <c r="B192" s="1">
        <v>3.8192902553600301</v>
      </c>
      <c r="C192" s="1">
        <v>3.9710023571975301</v>
      </c>
      <c r="D192" s="1">
        <v>4.61409674952138</v>
      </c>
      <c r="E192" s="13">
        <f t="shared" si="6"/>
        <v>79.480649416134995</v>
      </c>
      <c r="F192" s="13">
        <f t="shared" si="7"/>
        <v>1.3949677437040435</v>
      </c>
      <c r="G192" s="13">
        <f t="shared" si="8"/>
        <v>5.6429242774690191</v>
      </c>
    </row>
    <row r="193" spans="1:7" x14ac:dyDescent="0.2">
      <c r="A193" s="9">
        <v>45561</v>
      </c>
      <c r="B193" s="1">
        <v>3.7942383183573498</v>
      </c>
      <c r="C193" s="1">
        <v>3.9674797621672502</v>
      </c>
      <c r="D193" s="1">
        <v>4.6292836209701802</v>
      </c>
      <c r="E193" s="13">
        <f t="shared" si="6"/>
        <v>83.504530261283037</v>
      </c>
      <c r="F193" s="13">
        <f t="shared" si="7"/>
        <v>4.0238808451480423</v>
      </c>
      <c r="G193" s="13">
        <f t="shared" si="8"/>
        <v>-0.35225950302799625</v>
      </c>
    </row>
    <row r="194" spans="1:7" x14ac:dyDescent="0.2">
      <c r="A194" s="9">
        <v>45562</v>
      </c>
      <c r="B194" s="1">
        <v>3.8038965259395501</v>
      </c>
      <c r="C194" s="1">
        <v>3.9752319055960799</v>
      </c>
      <c r="D194" s="1">
        <v>4.6464699266156098</v>
      </c>
      <c r="E194" s="13">
        <f t="shared" si="6"/>
        <v>84.257340067605966</v>
      </c>
      <c r="F194" s="13">
        <f t="shared" si="7"/>
        <v>0.75280980632292938</v>
      </c>
      <c r="G194" s="13">
        <f t="shared" si="8"/>
        <v>0.77521434288296831</v>
      </c>
    </row>
    <row r="195" spans="1:7" x14ac:dyDescent="0.2">
      <c r="A195" s="9">
        <v>45565</v>
      </c>
      <c r="B195" s="1">
        <v>3.8452489916310699</v>
      </c>
      <c r="C195" s="1">
        <v>3.9914675950901901</v>
      </c>
      <c r="D195" s="1">
        <v>4.6372999982646999</v>
      </c>
      <c r="E195" s="13">
        <f t="shared" si="6"/>
        <v>79.205100663362998</v>
      </c>
      <c r="F195" s="13">
        <f t="shared" si="7"/>
        <v>-5.0522394042429681</v>
      </c>
      <c r="G195" s="13">
        <f t="shared" si="8"/>
        <v>1.623568949411025</v>
      </c>
    </row>
    <row r="196" spans="1:7" x14ac:dyDescent="0.2">
      <c r="A196" s="9">
        <v>45566</v>
      </c>
      <c r="B196" s="1">
        <v>3.81546059171936</v>
      </c>
      <c r="C196" s="1">
        <v>3.9204899765835202</v>
      </c>
      <c r="D196" s="1">
        <v>4.56320071313898</v>
      </c>
      <c r="E196" s="13">
        <f t="shared" si="6"/>
        <v>74.774012141962004</v>
      </c>
      <c r="F196" s="13">
        <f t="shared" si="7"/>
        <v>-4.4310885214009943</v>
      </c>
      <c r="G196" s="13">
        <f t="shared" si="8"/>
        <v>-7.0977618506669948</v>
      </c>
    </row>
    <row r="197" spans="1:7" x14ac:dyDescent="0.2">
      <c r="A197" s="9">
        <v>45567</v>
      </c>
      <c r="B197" s="1">
        <v>3.87343332670181</v>
      </c>
      <c r="C197" s="1">
        <v>4.0227825428049302</v>
      </c>
      <c r="D197" s="1">
        <v>4.6553402802566701</v>
      </c>
      <c r="E197" s="13">
        <f t="shared" si="6"/>
        <v>78.190695355486014</v>
      </c>
      <c r="F197" s="13">
        <f t="shared" si="7"/>
        <v>3.4166832135240099</v>
      </c>
      <c r="G197" s="13">
        <f t="shared" si="8"/>
        <v>10.229256622141003</v>
      </c>
    </row>
    <row r="198" spans="1:7" x14ac:dyDescent="0.2">
      <c r="A198" s="9">
        <v>45568</v>
      </c>
      <c r="B198" s="1">
        <v>3.8070479248420699</v>
      </c>
      <c r="C198" s="1">
        <v>3.99590550760003</v>
      </c>
      <c r="D198" s="1">
        <v>4.6473872250291297</v>
      </c>
      <c r="E198" s="13">
        <f t="shared" si="6"/>
        <v>84.033930018705988</v>
      </c>
      <c r="F198" s="13">
        <f t="shared" si="7"/>
        <v>5.8432346632199739</v>
      </c>
      <c r="G198" s="13">
        <f t="shared" si="8"/>
        <v>-2.6877035204900146</v>
      </c>
    </row>
    <row r="199" spans="1:7" x14ac:dyDescent="0.2">
      <c r="A199" s="9">
        <v>45569</v>
      </c>
      <c r="B199" s="1">
        <v>3.9631221658443998</v>
      </c>
      <c r="C199" s="1">
        <v>4.1123844221746104</v>
      </c>
      <c r="D199" s="1">
        <v>4.7178545872698097</v>
      </c>
      <c r="E199" s="13">
        <f t="shared" ref="E199:E262" si="9">(D199-B199)*100</f>
        <v>75.473242142540983</v>
      </c>
      <c r="F199" s="13">
        <f t="shared" si="7"/>
        <v>-8.5606878761650052</v>
      </c>
      <c r="G199" s="13">
        <f t="shared" si="8"/>
        <v>11.647891457458037</v>
      </c>
    </row>
    <row r="200" spans="1:7" x14ac:dyDescent="0.2">
      <c r="A200" s="9">
        <v>45572</v>
      </c>
      <c r="B200" s="1">
        <v>4.0322032881411998</v>
      </c>
      <c r="C200" s="1">
        <v>4.1838177596700197</v>
      </c>
      <c r="D200" s="1">
        <v>4.7614269373709197</v>
      </c>
      <c r="E200" s="13">
        <f t="shared" si="9"/>
        <v>72.922364922971994</v>
      </c>
      <c r="F200" s="13">
        <f t="shared" ref="F200:F263" si="10">E200-E199</f>
        <v>-2.5508772195689886</v>
      </c>
      <c r="G200" s="13">
        <f t="shared" ref="G200:G263" si="11">(C200-C199)*100</f>
        <v>7.1433337495409255</v>
      </c>
    </row>
    <row r="201" spans="1:7" x14ac:dyDescent="0.2">
      <c r="A201" s="9">
        <v>45573</v>
      </c>
      <c r="B201" s="1">
        <v>3.99966854788671</v>
      </c>
      <c r="C201" s="1">
        <v>4.1746095896673703</v>
      </c>
      <c r="D201" s="1">
        <v>4.7627213981186403</v>
      </c>
      <c r="E201" s="13">
        <f t="shared" si="9"/>
        <v>76.305285023193022</v>
      </c>
      <c r="F201" s="13">
        <f t="shared" si="10"/>
        <v>3.3829201002210283</v>
      </c>
      <c r="G201" s="13">
        <f t="shared" si="11"/>
        <v>-0.92081700026493962</v>
      </c>
    </row>
    <row r="202" spans="1:7" x14ac:dyDescent="0.2">
      <c r="A202" s="9">
        <v>45574</v>
      </c>
      <c r="B202" s="1">
        <v>3.9965703306627298</v>
      </c>
      <c r="C202" s="1">
        <v>4.1643571341849901</v>
      </c>
      <c r="D202" s="1">
        <v>4.7604027612832498</v>
      </c>
      <c r="E202" s="13">
        <f t="shared" si="9"/>
        <v>76.383243062052003</v>
      </c>
      <c r="F202" s="13">
        <f t="shared" si="10"/>
        <v>7.7958038858980672E-2</v>
      </c>
      <c r="G202" s="13">
        <f t="shared" si="11"/>
        <v>-1.0252455482380185</v>
      </c>
    </row>
    <row r="203" spans="1:7" x14ac:dyDescent="0.2">
      <c r="A203" s="9">
        <v>45575</v>
      </c>
      <c r="B203" s="1">
        <v>3.9952085721699402</v>
      </c>
      <c r="C203" s="1">
        <v>4.2108157231156902</v>
      </c>
      <c r="D203" s="1">
        <v>4.8066543495060401</v>
      </c>
      <c r="E203" s="13">
        <f t="shared" si="9"/>
        <v>81.144577733609992</v>
      </c>
      <c r="F203" s="13">
        <f t="shared" si="10"/>
        <v>4.7613346715579894</v>
      </c>
      <c r="G203" s="13">
        <f t="shared" si="11"/>
        <v>4.6458588930700095</v>
      </c>
    </row>
    <row r="204" spans="1:7" x14ac:dyDescent="0.2">
      <c r="A204" s="9">
        <v>45576</v>
      </c>
      <c r="B204" s="1">
        <v>3.9755235799110999</v>
      </c>
      <c r="C204" s="1">
        <v>4.2004368707724398</v>
      </c>
      <c r="D204" s="1">
        <v>4.7888395701289301</v>
      </c>
      <c r="E204" s="13">
        <f t="shared" si="9"/>
        <v>81.33159902178302</v>
      </c>
      <c r="F204" s="13">
        <f t="shared" si="10"/>
        <v>0.18702128817302821</v>
      </c>
      <c r="G204" s="13">
        <f t="shared" si="11"/>
        <v>-1.0378852343250422</v>
      </c>
    </row>
    <row r="205" spans="1:7" x14ac:dyDescent="0.2">
      <c r="A205" s="9">
        <v>45579</v>
      </c>
      <c r="B205" s="1">
        <v>3.96594742451963</v>
      </c>
      <c r="C205" s="1">
        <v>4.2268454878581903</v>
      </c>
      <c r="D205" s="1">
        <v>4.8188127309028399</v>
      </c>
      <c r="E205" s="13">
        <f t="shared" si="9"/>
        <v>85.286530638320983</v>
      </c>
      <c r="F205" s="13">
        <f t="shared" si="10"/>
        <v>3.9549316165379622</v>
      </c>
      <c r="G205" s="13">
        <f t="shared" si="11"/>
        <v>2.6408617085750485</v>
      </c>
    </row>
    <row r="206" spans="1:7" x14ac:dyDescent="0.2">
      <c r="A206" s="9">
        <v>45580</v>
      </c>
      <c r="B206" s="1">
        <v>3.9160867708932798</v>
      </c>
      <c r="C206" s="1">
        <v>4.1458658561705102</v>
      </c>
      <c r="D206" s="1">
        <v>4.7151779352154399</v>
      </c>
      <c r="E206" s="13">
        <f t="shared" si="9"/>
        <v>79.90911643221601</v>
      </c>
      <c r="F206" s="13">
        <f t="shared" si="10"/>
        <v>-5.377414206104973</v>
      </c>
      <c r="G206" s="13">
        <f t="shared" si="11"/>
        <v>-8.0979631687680076</v>
      </c>
    </row>
    <row r="207" spans="1:7" x14ac:dyDescent="0.2">
      <c r="A207" s="9">
        <v>45581</v>
      </c>
      <c r="B207" s="1">
        <v>3.7982779133060798</v>
      </c>
      <c r="C207" s="1">
        <v>4.0432876072911403</v>
      </c>
      <c r="D207" s="1">
        <v>4.6179983457682798</v>
      </c>
      <c r="E207" s="13">
        <f t="shared" si="9"/>
        <v>81.972043246220011</v>
      </c>
      <c r="F207" s="13">
        <f t="shared" si="10"/>
        <v>2.0629268140040011</v>
      </c>
      <c r="G207" s="13">
        <f t="shared" si="11"/>
        <v>-10.257824887936984</v>
      </c>
    </row>
    <row r="208" spans="1:7" x14ac:dyDescent="0.2">
      <c r="A208" s="9">
        <v>45582</v>
      </c>
      <c r="B208" s="1">
        <v>3.8279030166085302</v>
      </c>
      <c r="C208" s="1">
        <v>4.0896908346735401</v>
      </c>
      <c r="D208" s="1">
        <v>4.6539834570663503</v>
      </c>
      <c r="E208" s="13">
        <f t="shared" si="9"/>
        <v>82.608044045782009</v>
      </c>
      <c r="F208" s="13">
        <f t="shared" si="10"/>
        <v>0.63600079956199806</v>
      </c>
      <c r="G208" s="13">
        <f t="shared" si="11"/>
        <v>4.640322738239977</v>
      </c>
    </row>
    <row r="209" spans="1:7" x14ac:dyDescent="0.2">
      <c r="A209" s="9">
        <v>45583</v>
      </c>
      <c r="B209" s="1">
        <v>3.80002436389361</v>
      </c>
      <c r="C209" s="1">
        <v>4.0509476173978101</v>
      </c>
      <c r="D209" s="1">
        <v>4.6307415316193996</v>
      </c>
      <c r="E209" s="13">
        <f t="shared" si="9"/>
        <v>83.071716772578966</v>
      </c>
      <c r="F209" s="13">
        <f t="shared" si="10"/>
        <v>0.46367272679695759</v>
      </c>
      <c r="G209" s="13">
        <f t="shared" si="11"/>
        <v>-3.8743217275730046</v>
      </c>
    </row>
    <row r="210" spans="1:7" x14ac:dyDescent="0.2">
      <c r="A210" s="9">
        <v>45586</v>
      </c>
      <c r="B210" s="1">
        <v>3.8353406752840602</v>
      </c>
      <c r="C210" s="1">
        <v>4.1116146066141699</v>
      </c>
      <c r="D210" s="1">
        <v>4.7062921991235802</v>
      </c>
      <c r="E210" s="13">
        <f t="shared" si="9"/>
        <v>87.095152383951998</v>
      </c>
      <c r="F210" s="13">
        <f t="shared" si="10"/>
        <v>4.0234356113730314</v>
      </c>
      <c r="G210" s="13">
        <f t="shared" si="11"/>
        <v>6.0666989216359823</v>
      </c>
    </row>
    <row r="211" spans="1:7" x14ac:dyDescent="0.2">
      <c r="A211" s="9">
        <v>45587</v>
      </c>
      <c r="B211" s="1">
        <v>3.8620677285093201</v>
      </c>
      <c r="C211" s="1">
        <v>4.1464011327702304</v>
      </c>
      <c r="D211" s="1">
        <v>4.7391581376777401</v>
      </c>
      <c r="E211" s="13">
        <f t="shared" si="9"/>
        <v>87.709040916842</v>
      </c>
      <c r="F211" s="13">
        <f t="shared" si="10"/>
        <v>0.61388853289000167</v>
      </c>
      <c r="G211" s="13">
        <f t="shared" si="11"/>
        <v>3.4786526156060482</v>
      </c>
    </row>
    <row r="212" spans="1:7" x14ac:dyDescent="0.2">
      <c r="A212" s="9">
        <v>45588</v>
      </c>
      <c r="B212" s="1">
        <v>3.8846240180497</v>
      </c>
      <c r="C212" s="1">
        <v>4.2026436941381098</v>
      </c>
      <c r="D212" s="1">
        <v>4.7822670764948896</v>
      </c>
      <c r="E212" s="13">
        <f t="shared" si="9"/>
        <v>89.764305844518958</v>
      </c>
      <c r="F212" s="13">
        <f t="shared" si="10"/>
        <v>2.0552649276769586</v>
      </c>
      <c r="G212" s="13">
        <f t="shared" si="11"/>
        <v>5.6242561367879418</v>
      </c>
    </row>
    <row r="213" spans="1:7" x14ac:dyDescent="0.2">
      <c r="A213" s="9">
        <v>45589</v>
      </c>
      <c r="B213" s="1">
        <v>3.9068125082277398</v>
      </c>
      <c r="C213" s="1">
        <v>4.2022495602804204</v>
      </c>
      <c r="D213" s="1">
        <v>4.7699677573216102</v>
      </c>
      <c r="E213" s="13">
        <f t="shared" si="9"/>
        <v>86.315524909387037</v>
      </c>
      <c r="F213" s="13">
        <f t="shared" si="10"/>
        <v>-3.4487809351319214</v>
      </c>
      <c r="G213" s="13">
        <f t="shared" si="11"/>
        <v>-3.9413385768938269E-2</v>
      </c>
    </row>
    <row r="214" spans="1:7" x14ac:dyDescent="0.2">
      <c r="A214" s="9">
        <v>45590</v>
      </c>
      <c r="B214" s="1">
        <v>3.9361701845692099</v>
      </c>
      <c r="C214" s="1">
        <v>4.1985567662771599</v>
      </c>
      <c r="D214" s="1">
        <v>4.7348082663670903</v>
      </c>
      <c r="E214" s="13">
        <f t="shared" si="9"/>
        <v>79.863808179788037</v>
      </c>
      <c r="F214" s="13">
        <f t="shared" si="10"/>
        <v>-6.4517167295989992</v>
      </c>
      <c r="G214" s="13">
        <f t="shared" si="11"/>
        <v>-0.36927940032605022</v>
      </c>
    </row>
    <row r="215" spans="1:7" x14ac:dyDescent="0.2">
      <c r="A215" s="9">
        <v>45593</v>
      </c>
      <c r="B215" s="1">
        <v>4.0016165450443202</v>
      </c>
      <c r="C215" s="1">
        <v>4.2365186625122702</v>
      </c>
      <c r="D215" s="1">
        <v>4.7686868060122496</v>
      </c>
      <c r="E215" s="13">
        <f t="shared" si="9"/>
        <v>76.707026096792944</v>
      </c>
      <c r="F215" s="13">
        <f t="shared" si="10"/>
        <v>-3.1567820829950932</v>
      </c>
      <c r="G215" s="13">
        <f t="shared" si="11"/>
        <v>3.796189623511026</v>
      </c>
    </row>
    <row r="216" spans="1:7" x14ac:dyDescent="0.2">
      <c r="A216" s="9">
        <v>45594</v>
      </c>
      <c r="B216" s="1">
        <v>4.0500735478325902</v>
      </c>
      <c r="C216" s="1">
        <v>4.2856013608156402</v>
      </c>
      <c r="D216" s="1">
        <v>4.7927263036330201</v>
      </c>
      <c r="E216" s="13">
        <f t="shared" si="9"/>
        <v>74.265275580042982</v>
      </c>
      <c r="F216" s="13">
        <f t="shared" si="10"/>
        <v>-2.4417505167499627</v>
      </c>
      <c r="G216" s="13">
        <f t="shared" si="11"/>
        <v>4.9082698303370087</v>
      </c>
    </row>
    <row r="217" spans="1:7" x14ac:dyDescent="0.2">
      <c r="A217" s="9">
        <v>45595</v>
      </c>
      <c r="B217" s="1">
        <v>4.12271960159649</v>
      </c>
      <c r="C217" s="1">
        <v>4.3270705516921204</v>
      </c>
      <c r="D217" s="1">
        <v>4.84884570873594</v>
      </c>
      <c r="E217" s="13">
        <f t="shared" si="9"/>
        <v>72.612610713945003</v>
      </c>
      <c r="F217" s="13">
        <f t="shared" si="10"/>
        <v>-1.6526648660979788</v>
      </c>
      <c r="G217" s="13">
        <f t="shared" si="11"/>
        <v>4.1469190876480155</v>
      </c>
    </row>
    <row r="218" spans="1:7" x14ac:dyDescent="0.2">
      <c r="A218" s="9">
        <v>45596</v>
      </c>
      <c r="B218" s="1">
        <v>4.2420223059679403</v>
      </c>
      <c r="C218" s="1">
        <v>4.40960931806136</v>
      </c>
      <c r="D218" s="1">
        <v>4.87559092412297</v>
      </c>
      <c r="E218" s="13">
        <f t="shared" si="9"/>
        <v>63.356861815502974</v>
      </c>
      <c r="F218" s="13">
        <f t="shared" si="10"/>
        <v>-9.2557488984420289</v>
      </c>
      <c r="G218" s="13">
        <f t="shared" si="11"/>
        <v>8.2538766369239625</v>
      </c>
    </row>
    <row r="219" spans="1:7" x14ac:dyDescent="0.2">
      <c r="A219" s="9">
        <v>45597</v>
      </c>
      <c r="B219" s="1">
        <v>4.24923931982614</v>
      </c>
      <c r="C219" s="1">
        <v>4.4258875455395099</v>
      </c>
      <c r="D219" s="1">
        <v>4.9131226940869102</v>
      </c>
      <c r="E219" s="13">
        <f t="shared" si="9"/>
        <v>66.388337426077015</v>
      </c>
      <c r="F219" s="13">
        <f t="shared" si="10"/>
        <v>3.0314756105740415</v>
      </c>
      <c r="G219" s="13">
        <f t="shared" si="11"/>
        <v>1.6278227478149887</v>
      </c>
    </row>
    <row r="220" spans="1:7" x14ac:dyDescent="0.2">
      <c r="A220" s="9">
        <v>45600</v>
      </c>
      <c r="B220" s="1">
        <v>4.2420312448774604</v>
      </c>
      <c r="C220" s="1">
        <v>4.4163006042840198</v>
      </c>
      <c r="D220" s="1">
        <v>4.9240326730894797</v>
      </c>
      <c r="E220" s="13">
        <f t="shared" si="9"/>
        <v>68.200142821201922</v>
      </c>
      <c r="F220" s="13">
        <f t="shared" si="10"/>
        <v>1.8118053951249067</v>
      </c>
      <c r="G220" s="13">
        <f t="shared" si="11"/>
        <v>-0.9586941255490089</v>
      </c>
    </row>
    <row r="221" spans="1:7" x14ac:dyDescent="0.2">
      <c r="A221" s="9">
        <v>45601</v>
      </c>
      <c r="B221" s="1">
        <v>4.3148037028540998</v>
      </c>
      <c r="C221" s="1">
        <v>4.4883097405948602</v>
      </c>
      <c r="D221" s="1">
        <v>4.9515227216657003</v>
      </c>
      <c r="E221" s="13">
        <f t="shared" si="9"/>
        <v>63.671901881160053</v>
      </c>
      <c r="F221" s="13">
        <f t="shared" si="10"/>
        <v>-4.5282409400418686</v>
      </c>
      <c r="G221" s="13">
        <f t="shared" si="11"/>
        <v>7.2009136310840383</v>
      </c>
    </row>
    <row r="222" spans="1:7" x14ac:dyDescent="0.2">
      <c r="A222" s="9">
        <v>45602</v>
      </c>
      <c r="B222" s="1">
        <v>4.3099635852384504</v>
      </c>
      <c r="C222" s="1">
        <v>4.5363988617196096</v>
      </c>
      <c r="D222" s="1">
        <v>5.0210844129080998</v>
      </c>
      <c r="E222" s="13">
        <f t="shared" si="9"/>
        <v>71.112082766964946</v>
      </c>
      <c r="F222" s="13">
        <f t="shared" si="10"/>
        <v>7.4401808858048923</v>
      </c>
      <c r="G222" s="13">
        <f t="shared" si="11"/>
        <v>4.808912112474939</v>
      </c>
    </row>
    <row r="223" spans="1:7" x14ac:dyDescent="0.2">
      <c r="A223" s="9">
        <v>45603</v>
      </c>
      <c r="B223" s="1">
        <v>4.2502374605251498</v>
      </c>
      <c r="C223" s="1">
        <v>4.4680853016992002</v>
      </c>
      <c r="D223" s="1">
        <v>4.9683049459220303</v>
      </c>
      <c r="E223" s="13">
        <f t="shared" si="9"/>
        <v>71.806748539688044</v>
      </c>
      <c r="F223" s="13">
        <f t="shared" si="10"/>
        <v>0.69466577272309848</v>
      </c>
      <c r="G223" s="13">
        <f t="shared" si="11"/>
        <v>-6.8313560020409447</v>
      </c>
    </row>
    <row r="224" spans="1:7" x14ac:dyDescent="0.2">
      <c r="A224" s="9">
        <v>45604</v>
      </c>
      <c r="B224" s="1">
        <v>4.23118422290091</v>
      </c>
      <c r="C224" s="1">
        <v>4.4052197040172398</v>
      </c>
      <c r="D224" s="1">
        <v>4.91463904929926</v>
      </c>
      <c r="E224" s="13">
        <f t="shared" si="9"/>
        <v>68.345482639834998</v>
      </c>
      <c r="F224" s="13">
        <f t="shared" si="10"/>
        <v>-3.4612658998530463</v>
      </c>
      <c r="G224" s="13">
        <f t="shared" si="11"/>
        <v>-6.2865597681960317</v>
      </c>
    </row>
    <row r="225" spans="1:7" x14ac:dyDescent="0.2">
      <c r="A225" s="9">
        <v>45607</v>
      </c>
      <c r="B225" s="1">
        <v>4.2167742046821202</v>
      </c>
      <c r="C225" s="1">
        <v>4.3909959325597097</v>
      </c>
      <c r="D225" s="1">
        <v>4.8723930000383699</v>
      </c>
      <c r="E225" s="13">
        <f t="shared" si="9"/>
        <v>65.561879535624982</v>
      </c>
      <c r="F225" s="13">
        <f t="shared" si="10"/>
        <v>-2.783603104210016</v>
      </c>
      <c r="G225" s="13">
        <f t="shared" si="11"/>
        <v>-1.4223771457530177</v>
      </c>
    </row>
    <row r="226" spans="1:7" x14ac:dyDescent="0.2">
      <c r="A226" s="9">
        <v>45608</v>
      </c>
      <c r="B226" s="1">
        <v>4.2723077781500596</v>
      </c>
      <c r="C226" s="1">
        <v>4.4458593294624604</v>
      </c>
      <c r="D226" s="1">
        <v>4.8867747357398104</v>
      </c>
      <c r="E226" s="13">
        <f t="shared" si="9"/>
        <v>61.446695758975082</v>
      </c>
      <c r="F226" s="13">
        <f t="shared" si="10"/>
        <v>-4.1151837766499</v>
      </c>
      <c r="G226" s="13">
        <f t="shared" si="11"/>
        <v>5.4863396902750772</v>
      </c>
    </row>
    <row r="227" spans="1:7" x14ac:dyDescent="0.2">
      <c r="A227" s="9">
        <v>45609</v>
      </c>
      <c r="B227" s="1">
        <v>4.2814639241057302</v>
      </c>
      <c r="C227" s="1">
        <v>4.4871485868452403</v>
      </c>
      <c r="D227" s="1">
        <v>4.8942225189397597</v>
      </c>
      <c r="E227" s="13">
        <f t="shared" si="9"/>
        <v>61.275859483402954</v>
      </c>
      <c r="F227" s="13">
        <f t="shared" si="10"/>
        <v>-0.17083627557212822</v>
      </c>
      <c r="G227" s="13">
        <f t="shared" si="11"/>
        <v>4.1289257382779887</v>
      </c>
    </row>
    <row r="228" spans="1:7" x14ac:dyDescent="0.2">
      <c r="A228" s="9">
        <v>45610</v>
      </c>
      <c r="B228" s="1">
        <v>4.2217906607871898</v>
      </c>
      <c r="C228" s="1">
        <v>4.47123303420687</v>
      </c>
      <c r="D228" s="1">
        <v>4.9260311629536897</v>
      </c>
      <c r="E228" s="13">
        <f t="shared" si="9"/>
        <v>70.424050216649988</v>
      </c>
      <c r="F228" s="13">
        <f t="shared" si="10"/>
        <v>9.1481907332470342</v>
      </c>
      <c r="G228" s="13">
        <f t="shared" si="11"/>
        <v>-1.5915552638370301</v>
      </c>
    </row>
    <row r="229" spans="1:7" x14ac:dyDescent="0.2">
      <c r="A229" s="9">
        <v>45611</v>
      </c>
      <c r="B229" s="1">
        <v>4.2011089284808296</v>
      </c>
      <c r="C229" s="1">
        <v>4.4545321734845702</v>
      </c>
      <c r="D229" s="1">
        <v>4.9308808635807297</v>
      </c>
      <c r="E229" s="13">
        <f t="shared" si="9"/>
        <v>72.977193509990016</v>
      </c>
      <c r="F229" s="13">
        <f t="shared" si="10"/>
        <v>2.5531432933400282</v>
      </c>
      <c r="G229" s="13">
        <f t="shared" si="11"/>
        <v>-1.6700860722299815</v>
      </c>
    </row>
    <row r="230" spans="1:7" x14ac:dyDescent="0.2">
      <c r="A230" s="9">
        <v>45614</v>
      </c>
      <c r="B230" s="1">
        <v>4.2211484259092398</v>
      </c>
      <c r="C230" s="1">
        <v>4.4536729677755202</v>
      </c>
      <c r="D230" s="1">
        <v>4.9163213903254297</v>
      </c>
      <c r="E230" s="13">
        <f t="shared" si="9"/>
        <v>69.517296441618996</v>
      </c>
      <c r="F230" s="13">
        <f t="shared" si="10"/>
        <v>-3.4598970683710206</v>
      </c>
      <c r="G230" s="13">
        <f t="shared" si="11"/>
        <v>-8.5920570904995941E-2</v>
      </c>
    </row>
    <row r="231" spans="1:7" x14ac:dyDescent="0.2">
      <c r="A231" s="9">
        <v>45615</v>
      </c>
      <c r="B231" s="1">
        <v>4.2101492055738401</v>
      </c>
      <c r="C231" s="1">
        <v>4.4139396485463802</v>
      </c>
      <c r="D231" s="1">
        <v>4.8568687869104004</v>
      </c>
      <c r="E231" s="13">
        <f t="shared" si="9"/>
        <v>64.671958133656034</v>
      </c>
      <c r="F231" s="13">
        <f t="shared" si="10"/>
        <v>-4.8453383079629617</v>
      </c>
      <c r="G231" s="13">
        <f t="shared" si="11"/>
        <v>-3.9733319229140029</v>
      </c>
    </row>
    <row r="232" spans="1:7" x14ac:dyDescent="0.2">
      <c r="A232" s="9">
        <v>45616</v>
      </c>
      <c r="B232" s="1">
        <v>4.2226104198330301</v>
      </c>
      <c r="C232" s="1">
        <v>4.4565045212153303</v>
      </c>
      <c r="D232" s="1">
        <v>4.92494699344038</v>
      </c>
      <c r="E232" s="13">
        <f t="shared" si="9"/>
        <v>70.233657360734995</v>
      </c>
      <c r="F232" s="13">
        <f t="shared" si="10"/>
        <v>5.5616992270789609</v>
      </c>
      <c r="G232" s="13">
        <f t="shared" si="11"/>
        <v>4.2564872668950038</v>
      </c>
    </row>
    <row r="233" spans="1:7" x14ac:dyDescent="0.2">
      <c r="A233" s="9">
        <v>45617</v>
      </c>
      <c r="B233" s="1">
        <v>4.1961415513018903</v>
      </c>
      <c r="C233" s="1">
        <v>4.4132319913861204</v>
      </c>
      <c r="D233" s="1">
        <v>4.9118478414172797</v>
      </c>
      <c r="E233" s="13">
        <f t="shared" si="9"/>
        <v>71.570629011538941</v>
      </c>
      <c r="F233" s="13">
        <f t="shared" si="10"/>
        <v>1.336971650803946</v>
      </c>
      <c r="G233" s="13">
        <f t="shared" si="11"/>
        <v>-4.3272529829209816</v>
      </c>
    </row>
    <row r="234" spans="1:7" x14ac:dyDescent="0.2">
      <c r="A234" s="9">
        <v>45618</v>
      </c>
      <c r="B234" s="1">
        <v>4.15591633078561</v>
      </c>
      <c r="C234" s="1">
        <v>4.3735414468387797</v>
      </c>
      <c r="D234" s="1">
        <v>4.8720143081784801</v>
      </c>
      <c r="E234" s="13">
        <f t="shared" si="9"/>
        <v>71.609797739287018</v>
      </c>
      <c r="F234" s="13">
        <f t="shared" si="10"/>
        <v>3.9168727748077004E-2</v>
      </c>
      <c r="G234" s="13">
        <f t="shared" si="11"/>
        <v>-3.9690544547340778</v>
      </c>
    </row>
    <row r="235" spans="1:7" x14ac:dyDescent="0.2">
      <c r="A235" s="9">
        <v>45621</v>
      </c>
      <c r="B235" s="1">
        <v>4.1382574607647404</v>
      </c>
      <c r="C235" s="1">
        <v>4.3107735225016697</v>
      </c>
      <c r="D235" s="1">
        <v>4.8067010002915103</v>
      </c>
      <c r="E235" s="13">
        <f t="shared" si="9"/>
        <v>66.844353952676983</v>
      </c>
      <c r="F235" s="13">
        <f t="shared" si="10"/>
        <v>-4.7654437866100352</v>
      </c>
      <c r="G235" s="13">
        <f t="shared" si="11"/>
        <v>-6.2767924337109982</v>
      </c>
    </row>
    <row r="236" spans="1:7" x14ac:dyDescent="0.2">
      <c r="A236" s="9">
        <v>45622</v>
      </c>
      <c r="B236" s="1">
        <v>4.1546865184630697</v>
      </c>
      <c r="C236" s="1">
        <v>4.3365869185528698</v>
      </c>
      <c r="D236" s="1">
        <v>4.8521619959747397</v>
      </c>
      <c r="E236" s="13">
        <f t="shared" si="9"/>
        <v>69.747547751167005</v>
      </c>
      <c r="F236" s="13">
        <f t="shared" si="10"/>
        <v>2.9031937984900225</v>
      </c>
      <c r="G236" s="13">
        <f t="shared" si="11"/>
        <v>2.5813396051200144</v>
      </c>
    </row>
    <row r="237" spans="1:7" x14ac:dyDescent="0.2">
      <c r="A237" s="9">
        <v>45623</v>
      </c>
      <c r="B237" s="1">
        <v>4.1462942634482403</v>
      </c>
      <c r="C237" s="1">
        <v>4.2854443152463002</v>
      </c>
      <c r="D237" s="1">
        <v>4.8242801275049203</v>
      </c>
      <c r="E237" s="13">
        <f t="shared" si="9"/>
        <v>67.798586405668004</v>
      </c>
      <c r="F237" s="13">
        <f t="shared" si="10"/>
        <v>-1.9489613454990007</v>
      </c>
      <c r="G237" s="13">
        <f t="shared" si="11"/>
        <v>-5.1142603306569612</v>
      </c>
    </row>
    <row r="238" spans="1:7" x14ac:dyDescent="0.2">
      <c r="A238" s="9">
        <v>45624</v>
      </c>
      <c r="B238" s="1">
        <v>4.1136890385134297</v>
      </c>
      <c r="C238" s="1">
        <v>4.2583242419992802</v>
      </c>
      <c r="D238" s="1">
        <v>4.7994225755634696</v>
      </c>
      <c r="E238" s="13">
        <f t="shared" si="9"/>
        <v>68.573353705003996</v>
      </c>
      <c r="F238" s="13">
        <f t="shared" si="10"/>
        <v>0.77476729933599131</v>
      </c>
      <c r="G238" s="13">
        <f t="shared" si="11"/>
        <v>-2.7120073247020038</v>
      </c>
    </row>
    <row r="239" spans="1:7" x14ac:dyDescent="0.2">
      <c r="A239" s="9">
        <v>45625</v>
      </c>
      <c r="B239" s="1">
        <v>4.0701962198508097</v>
      </c>
      <c r="C239" s="1">
        <v>4.2332654008372401</v>
      </c>
      <c r="D239" s="1">
        <v>4.7784550175750198</v>
      </c>
      <c r="E239" s="13">
        <f t="shared" si="9"/>
        <v>70.825879772421004</v>
      </c>
      <c r="F239" s="13">
        <f t="shared" si="10"/>
        <v>2.2525260674170084</v>
      </c>
      <c r="G239" s="13">
        <f t="shared" si="11"/>
        <v>-2.5058841162040046</v>
      </c>
    </row>
    <row r="240" spans="1:7" x14ac:dyDescent="0.2">
      <c r="A240" s="9">
        <v>45628</v>
      </c>
      <c r="B240" s="1">
        <v>4.0418408560482604</v>
      </c>
      <c r="C240" s="1">
        <v>4.2085836689778597</v>
      </c>
      <c r="D240" s="1">
        <v>4.7731200724517198</v>
      </c>
      <c r="E240" s="13">
        <f t="shared" si="9"/>
        <v>73.127921640345932</v>
      </c>
      <c r="F240" s="13">
        <f t="shared" si="10"/>
        <v>2.3020418679249275</v>
      </c>
      <c r="G240" s="13">
        <f t="shared" si="11"/>
        <v>-2.4681731859380385</v>
      </c>
    </row>
    <row r="241" spans="1:7" x14ac:dyDescent="0.2">
      <c r="A241" s="9">
        <v>45629</v>
      </c>
      <c r="B241" s="1">
        <v>4.0575013768696699</v>
      </c>
      <c r="C241" s="1">
        <v>4.2246209994745998</v>
      </c>
      <c r="D241" s="1">
        <v>4.8011845544029503</v>
      </c>
      <c r="E241" s="13">
        <f t="shared" si="9"/>
        <v>74.368317753328043</v>
      </c>
      <c r="F241" s="13">
        <f t="shared" si="10"/>
        <v>1.2403961129821113</v>
      </c>
      <c r="G241" s="13">
        <f t="shared" si="11"/>
        <v>1.6037330496740054</v>
      </c>
    </row>
    <row r="242" spans="1:7" x14ac:dyDescent="0.2">
      <c r="A242" s="9">
        <v>45630</v>
      </c>
      <c r="B242" s="1">
        <v>4.0402151747366899</v>
      </c>
      <c r="C242" s="1">
        <v>4.2242748257193696</v>
      </c>
      <c r="D242" s="1">
        <v>4.8056508946375702</v>
      </c>
      <c r="E242" s="13">
        <f t="shared" si="9"/>
        <v>76.543571990088026</v>
      </c>
      <c r="F242" s="13">
        <f t="shared" si="10"/>
        <v>2.175254236759983</v>
      </c>
      <c r="G242" s="13">
        <f t="shared" si="11"/>
        <v>-3.4617375523016136E-2</v>
      </c>
    </row>
    <row r="243" spans="1:7" x14ac:dyDescent="0.2">
      <c r="A243" s="9">
        <v>45631</v>
      </c>
      <c r="B243" s="1">
        <v>4.08491405902764</v>
      </c>
      <c r="C243" s="1">
        <v>4.2561305428402498</v>
      </c>
      <c r="D243" s="1">
        <v>4.8446151357558103</v>
      </c>
      <c r="E243" s="13">
        <f t="shared" si="9"/>
        <v>75.970107672817022</v>
      </c>
      <c r="F243" s="13">
        <f t="shared" si="10"/>
        <v>-0.57346431727100367</v>
      </c>
      <c r="G243" s="13">
        <f t="shared" si="11"/>
        <v>3.18557171208802</v>
      </c>
    </row>
    <row r="244" spans="1:7" x14ac:dyDescent="0.2">
      <c r="A244" s="9">
        <v>45632</v>
      </c>
      <c r="B244" s="1">
        <v>4.0920038305436801</v>
      </c>
      <c r="C244" s="1">
        <v>4.2633299886245597</v>
      </c>
      <c r="D244" s="1">
        <v>4.8581148936002396</v>
      </c>
      <c r="E244" s="13">
        <f t="shared" si="9"/>
        <v>76.611106305655952</v>
      </c>
      <c r="F244" s="13">
        <f t="shared" si="10"/>
        <v>0.64099863283892944</v>
      </c>
      <c r="G244" s="13">
        <f t="shared" si="11"/>
        <v>0.71994457843098658</v>
      </c>
    </row>
    <row r="245" spans="1:7" x14ac:dyDescent="0.2">
      <c r="A245" s="9">
        <v>45635</v>
      </c>
      <c r="B245" s="1">
        <v>4.0627000712125501</v>
      </c>
      <c r="C245" s="1">
        <v>4.2529621331505103</v>
      </c>
      <c r="D245" s="1">
        <v>4.8679683267284402</v>
      </c>
      <c r="E245" s="13">
        <f t="shared" si="9"/>
        <v>80.526825551589013</v>
      </c>
      <c r="F245" s="13">
        <f t="shared" si="10"/>
        <v>3.9157192459330616</v>
      </c>
      <c r="G245" s="13">
        <f t="shared" si="11"/>
        <v>-1.0367855474049392</v>
      </c>
    </row>
    <row r="246" spans="1:7" x14ac:dyDescent="0.2">
      <c r="A246" s="9">
        <v>45636</v>
      </c>
      <c r="B246" s="1">
        <v>4.0857067230675401</v>
      </c>
      <c r="C246" s="1">
        <v>4.3026634109793997</v>
      </c>
      <c r="D246" s="1">
        <v>4.9186785243912903</v>
      </c>
      <c r="E246" s="13">
        <f t="shared" si="9"/>
        <v>83.297180132375019</v>
      </c>
      <c r="F246" s="13">
        <f t="shared" si="10"/>
        <v>2.7703545807860053</v>
      </c>
      <c r="G246" s="13">
        <f t="shared" si="11"/>
        <v>4.9701277828889445</v>
      </c>
    </row>
    <row r="247" spans="1:7" x14ac:dyDescent="0.2">
      <c r="A247" s="9">
        <v>45637</v>
      </c>
      <c r="B247" s="1">
        <v>4.0633602315267003</v>
      </c>
      <c r="C247" s="1">
        <v>4.30027697742148</v>
      </c>
      <c r="D247" s="1">
        <v>4.9227050298570498</v>
      </c>
      <c r="E247" s="13">
        <f t="shared" si="9"/>
        <v>85.934479833034942</v>
      </c>
      <c r="F247" s="13">
        <f t="shared" si="10"/>
        <v>2.6372997006599235</v>
      </c>
      <c r="G247" s="13">
        <f t="shared" si="11"/>
        <v>-0.23864335579197871</v>
      </c>
    </row>
    <row r="248" spans="1:7" x14ac:dyDescent="0.2">
      <c r="A248" s="9">
        <v>45638</v>
      </c>
      <c r="B248" s="1">
        <v>4.0551799782449001</v>
      </c>
      <c r="C248" s="1">
        <v>4.3265431443996301</v>
      </c>
      <c r="D248" s="1">
        <v>4.9533910623291604</v>
      </c>
      <c r="E248" s="13">
        <f t="shared" si="9"/>
        <v>89.821108408426028</v>
      </c>
      <c r="F248" s="13">
        <f t="shared" si="10"/>
        <v>3.8866285753910859</v>
      </c>
      <c r="G248" s="13">
        <f t="shared" si="11"/>
        <v>2.6266166978150096</v>
      </c>
    </row>
    <row r="249" spans="1:7" x14ac:dyDescent="0.2">
      <c r="A249" s="9">
        <v>45639</v>
      </c>
      <c r="B249" s="1">
        <v>4.1003857751109596</v>
      </c>
      <c r="C249" s="1">
        <v>4.3913244796448998</v>
      </c>
      <c r="D249" s="1">
        <v>4.9981136040181999</v>
      </c>
      <c r="E249" s="13">
        <f t="shared" si="9"/>
        <v>89.772782890724031</v>
      </c>
      <c r="F249" s="13">
        <f t="shared" si="10"/>
        <v>-4.8325517701997001E-2</v>
      </c>
      <c r="G249" s="13">
        <f t="shared" si="11"/>
        <v>6.4781335245269744</v>
      </c>
    </row>
    <row r="250" spans="1:7" x14ac:dyDescent="0.2">
      <c r="A250" s="9">
        <v>45642</v>
      </c>
      <c r="B250" s="1">
        <v>4.1426898518302302</v>
      </c>
      <c r="C250" s="1">
        <v>4.4232081911744503</v>
      </c>
      <c r="D250" s="1">
        <v>5.0152212989293101</v>
      </c>
      <c r="E250" s="13">
        <f t="shared" si="9"/>
        <v>87.253144709907986</v>
      </c>
      <c r="F250" s="13">
        <f t="shared" si="10"/>
        <v>-2.5196381808160453</v>
      </c>
      <c r="G250" s="13">
        <f t="shared" si="11"/>
        <v>3.1883711529550496</v>
      </c>
    </row>
    <row r="251" spans="1:7" x14ac:dyDescent="0.2">
      <c r="A251" s="9">
        <v>45643</v>
      </c>
      <c r="B251" s="1">
        <v>4.2463549778846099</v>
      </c>
      <c r="C251" s="1">
        <v>4.4998680663442601</v>
      </c>
      <c r="D251" s="1">
        <v>5.0621703392424404</v>
      </c>
      <c r="E251" s="13">
        <f t="shared" si="9"/>
        <v>81.581536135783054</v>
      </c>
      <c r="F251" s="13">
        <f t="shared" si="10"/>
        <v>-5.6716085741249316</v>
      </c>
      <c r="G251" s="13">
        <f t="shared" si="11"/>
        <v>7.6659875169809766</v>
      </c>
    </row>
    <row r="252" spans="1:7" x14ac:dyDescent="0.2">
      <c r="A252" s="9">
        <v>45644</v>
      </c>
      <c r="B252" s="1">
        <v>4.2575582050228302</v>
      </c>
      <c r="C252" s="1">
        <v>4.5371661753911496</v>
      </c>
      <c r="D252" s="1">
        <v>5.0695925248489297</v>
      </c>
      <c r="E252" s="13">
        <f t="shared" si="9"/>
        <v>81.203431982609956</v>
      </c>
      <c r="F252" s="13">
        <f t="shared" si="10"/>
        <v>-0.37810415317309776</v>
      </c>
      <c r="G252" s="13">
        <f t="shared" si="11"/>
        <v>3.7298109046889572</v>
      </c>
    </row>
    <row r="253" spans="1:7" x14ac:dyDescent="0.2">
      <c r="A253" s="9">
        <v>45645</v>
      </c>
      <c r="B253" s="1">
        <v>4.2253456811552796</v>
      </c>
      <c r="C253" s="1">
        <v>4.5773457465144096</v>
      </c>
      <c r="D253" s="1">
        <v>5.1414038784761997</v>
      </c>
      <c r="E253" s="13">
        <f t="shared" si="9"/>
        <v>91.605819732092016</v>
      </c>
      <c r="F253" s="13">
        <f t="shared" si="10"/>
        <v>10.40238774948206</v>
      </c>
      <c r="G253" s="13">
        <f t="shared" si="11"/>
        <v>4.0179571123259983</v>
      </c>
    </row>
    <row r="254" spans="1:7" x14ac:dyDescent="0.2">
      <c r="A254" s="9">
        <v>45646</v>
      </c>
      <c r="B254" s="1">
        <v>4.1674101273035502</v>
      </c>
      <c r="C254" s="1">
        <v>4.5180566580011998</v>
      </c>
      <c r="D254" s="1">
        <v>5.0788027422370599</v>
      </c>
      <c r="E254" s="13">
        <f t="shared" si="9"/>
        <v>91.139261493350972</v>
      </c>
      <c r="F254" s="13">
        <f t="shared" si="10"/>
        <v>-0.46655823874104385</v>
      </c>
      <c r="G254" s="13">
        <f t="shared" si="11"/>
        <v>-5.9289088513209798</v>
      </c>
    </row>
    <row r="255" spans="1:7" x14ac:dyDescent="0.2">
      <c r="A255" s="9">
        <v>45649</v>
      </c>
      <c r="B255" s="1">
        <v>4.2094718701029699</v>
      </c>
      <c r="C255" s="1">
        <v>4.5568985703087899</v>
      </c>
      <c r="D255" s="1">
        <v>5.1305646539655703</v>
      </c>
      <c r="E255" s="13">
        <f t="shared" si="9"/>
        <v>92.109278386260044</v>
      </c>
      <c r="F255" s="13">
        <f t="shared" si="10"/>
        <v>0.97001689290907223</v>
      </c>
      <c r="G255" s="13">
        <f t="shared" si="11"/>
        <v>3.8841912307590043</v>
      </c>
    </row>
    <row r="256" spans="1:7" x14ac:dyDescent="0.2">
      <c r="A256" s="9">
        <v>45650</v>
      </c>
      <c r="B256" s="1">
        <v>4.2413834945725499</v>
      </c>
      <c r="C256" s="1">
        <v>4.5926395097975199</v>
      </c>
      <c r="D256" s="1">
        <v>5.1644321730335099</v>
      </c>
      <c r="E256" s="13">
        <f t="shared" si="9"/>
        <v>92.304867846095988</v>
      </c>
      <c r="F256" s="13">
        <f t="shared" si="10"/>
        <v>0.19558945983594356</v>
      </c>
      <c r="G256" s="13">
        <f t="shared" si="11"/>
        <v>3.5740939488730028</v>
      </c>
    </row>
    <row r="257" spans="1:7" x14ac:dyDescent="0.2">
      <c r="A257" s="9">
        <v>45653</v>
      </c>
      <c r="B257" s="1">
        <v>4.2566194357204203</v>
      </c>
      <c r="C257" s="1">
        <v>4.6235031581128698</v>
      </c>
      <c r="D257" s="1">
        <v>5.1875818816597103</v>
      </c>
      <c r="E257" s="13">
        <f t="shared" si="9"/>
        <v>93.096244593929001</v>
      </c>
      <c r="F257" s="13">
        <f t="shared" si="10"/>
        <v>0.79137674783301293</v>
      </c>
      <c r="G257" s="13">
        <f t="shared" si="11"/>
        <v>3.0863648315349934</v>
      </c>
    </row>
    <row r="258" spans="1:7" x14ac:dyDescent="0.2">
      <c r="A258" s="9">
        <v>45656</v>
      </c>
      <c r="B258" s="1">
        <v>4.2320912478680004</v>
      </c>
      <c r="C258" s="1">
        <v>4.5958819857334197</v>
      </c>
      <c r="D258" s="1">
        <v>5.1684789208642199</v>
      </c>
      <c r="E258" s="13">
        <f t="shared" si="9"/>
        <v>93.638767299621946</v>
      </c>
      <c r="F258" s="13">
        <f t="shared" si="10"/>
        <v>0.54252270569294581</v>
      </c>
      <c r="G258" s="13">
        <f t="shared" si="11"/>
        <v>-2.7621172379450165</v>
      </c>
    </row>
    <row r="259" spans="1:7" x14ac:dyDescent="0.2">
      <c r="A259" s="9">
        <v>45657</v>
      </c>
      <c r="B259" s="1">
        <v>4.1983363514577698</v>
      </c>
      <c r="C259" s="1">
        <v>4.5700615817122596</v>
      </c>
      <c r="D259" s="1">
        <v>5.1485844621262302</v>
      </c>
      <c r="E259" s="13">
        <f t="shared" si="9"/>
        <v>95.024811066846041</v>
      </c>
      <c r="F259" s="13">
        <f t="shared" si="10"/>
        <v>1.3860437672240948</v>
      </c>
      <c r="G259" s="13">
        <f t="shared" si="11"/>
        <v>-2.5820404021160037</v>
      </c>
    </row>
    <row r="260" spans="1:7" x14ac:dyDescent="0.2">
      <c r="A260" s="9">
        <v>45659</v>
      </c>
      <c r="B260" s="1">
        <v>4.1981924699423496</v>
      </c>
      <c r="C260" s="1">
        <v>4.5777161965809601</v>
      </c>
      <c r="D260" s="1">
        <v>5.1683375258823103</v>
      </c>
      <c r="E260" s="13">
        <f t="shared" si="9"/>
        <v>97.014505593996063</v>
      </c>
      <c r="F260" s="13">
        <f t="shared" si="10"/>
        <v>1.9896945271500215</v>
      </c>
      <c r="G260" s="13">
        <f t="shared" si="11"/>
        <v>0.76546148687004489</v>
      </c>
    </row>
    <row r="261" spans="1:7" x14ac:dyDescent="0.2">
      <c r="A261" s="9">
        <v>45660</v>
      </c>
      <c r="B261" s="1">
        <v>4.2219932765970896</v>
      </c>
      <c r="C261" s="1">
        <v>4.58755944800125</v>
      </c>
      <c r="D261" s="1">
        <v>5.1754295256014204</v>
      </c>
      <c r="E261" s="13">
        <f t="shared" si="9"/>
        <v>95.343624900433085</v>
      </c>
      <c r="F261" s="13">
        <f t="shared" si="10"/>
        <v>-1.6708806935629781</v>
      </c>
      <c r="G261" s="13">
        <f t="shared" si="11"/>
        <v>0.98432514202899668</v>
      </c>
    </row>
    <row r="262" spans="1:7" x14ac:dyDescent="0.2">
      <c r="A262" s="9">
        <v>45663</v>
      </c>
      <c r="B262" s="1">
        <v>4.2403405994409598</v>
      </c>
      <c r="C262" s="1">
        <v>4.6155761294195496</v>
      </c>
      <c r="D262" s="1">
        <v>5.2110031702835702</v>
      </c>
      <c r="E262" s="13">
        <f t="shared" si="9"/>
        <v>97.066257084261039</v>
      </c>
      <c r="F262" s="13">
        <f t="shared" si="10"/>
        <v>1.7226321838279546</v>
      </c>
      <c r="G262" s="13">
        <f t="shared" si="11"/>
        <v>2.8016681418299605</v>
      </c>
    </row>
    <row r="263" spans="1:7" x14ac:dyDescent="0.2">
      <c r="A263" s="9">
        <v>45664</v>
      </c>
      <c r="B263" s="1">
        <v>4.2601813229609098</v>
      </c>
      <c r="C263" s="1">
        <v>4.6744710623780801</v>
      </c>
      <c r="D263" s="1">
        <v>5.2671127883745497</v>
      </c>
      <c r="E263" s="13">
        <f t="shared" ref="E263:E326" si="12">(D263-B263)*100</f>
        <v>100.69314654136399</v>
      </c>
      <c r="F263" s="13">
        <f t="shared" si="10"/>
        <v>3.6268894571029477</v>
      </c>
      <c r="G263" s="13">
        <f t="shared" si="11"/>
        <v>5.8894932958530433</v>
      </c>
    </row>
    <row r="264" spans="1:7" x14ac:dyDescent="0.2">
      <c r="A264" s="9">
        <v>45665</v>
      </c>
      <c r="B264" s="1">
        <v>4.3058071544446497</v>
      </c>
      <c r="C264" s="1">
        <v>4.7951319613876304</v>
      </c>
      <c r="D264" s="1">
        <v>5.3797068740240901</v>
      </c>
      <c r="E264" s="13">
        <f t="shared" si="12"/>
        <v>107.38997195794404</v>
      </c>
      <c r="F264" s="13">
        <f t="shared" ref="F264:F327" si="13">E264-E263</f>
        <v>6.6968254165800545</v>
      </c>
      <c r="G264" s="13">
        <f t="shared" ref="G264:G327" si="14">(C264-C263)*100</f>
        <v>12.066089900955035</v>
      </c>
    </row>
    <row r="265" spans="1:7" x14ac:dyDescent="0.2">
      <c r="A265" s="9">
        <v>45666</v>
      </c>
      <c r="B265" s="1">
        <v>4.2966604807329603</v>
      </c>
      <c r="C265" s="1">
        <v>4.7984671951839504</v>
      </c>
      <c r="D265" s="1">
        <v>5.3903840861427303</v>
      </c>
      <c r="E265" s="13">
        <f t="shared" si="12"/>
        <v>109.37236054097701</v>
      </c>
      <c r="F265" s="13">
        <f t="shared" si="13"/>
        <v>1.9823885830329715</v>
      </c>
      <c r="G265" s="13">
        <f t="shared" si="14"/>
        <v>0.33352337963199474</v>
      </c>
    </row>
    <row r="266" spans="1:7" x14ac:dyDescent="0.2">
      <c r="A266" s="9">
        <v>45667</v>
      </c>
      <c r="B266" s="1">
        <v>4.3317837046347298</v>
      </c>
      <c r="C266" s="1">
        <v>4.8468542692002101</v>
      </c>
      <c r="D266" s="1">
        <v>5.4257675607467197</v>
      </c>
      <c r="E266" s="13">
        <f t="shared" si="12"/>
        <v>109.39838561119899</v>
      </c>
      <c r="F266" s="13">
        <f t="shared" si="13"/>
        <v>2.6025070221976421E-2</v>
      </c>
      <c r="G266" s="13">
        <f t="shared" si="14"/>
        <v>4.8387074016259746</v>
      </c>
    </row>
    <row r="267" spans="1:7" x14ac:dyDescent="0.2">
      <c r="A267" s="9">
        <v>45670</v>
      </c>
      <c r="B267" s="1">
        <v>4.3780897555895404</v>
      </c>
      <c r="C267" s="1">
        <v>4.8724669895762798</v>
      </c>
      <c r="D267" s="1">
        <v>5.4354087170289702</v>
      </c>
      <c r="E267" s="13">
        <f t="shared" si="12"/>
        <v>105.73189614394298</v>
      </c>
      <c r="F267" s="13">
        <f t="shared" si="13"/>
        <v>-3.6664894672560138</v>
      </c>
      <c r="G267" s="13">
        <f t="shared" si="14"/>
        <v>2.5612720376069653</v>
      </c>
    </row>
    <row r="268" spans="1:7" x14ac:dyDescent="0.2">
      <c r="A268" s="9">
        <v>45671</v>
      </c>
      <c r="B268" s="1">
        <v>4.3922464719653798</v>
      </c>
      <c r="C268" s="1">
        <v>4.8856288246599497</v>
      </c>
      <c r="D268" s="1">
        <v>5.4546988087096704</v>
      </c>
      <c r="E268" s="13">
        <f t="shared" si="12"/>
        <v>106.24523367442906</v>
      </c>
      <c r="F268" s="13">
        <f t="shared" si="13"/>
        <v>0.51333753048608344</v>
      </c>
      <c r="G268" s="13">
        <f t="shared" si="14"/>
        <v>1.316183508366997</v>
      </c>
    </row>
    <row r="269" spans="1:7" x14ac:dyDescent="0.2">
      <c r="A269" s="9">
        <v>45672</v>
      </c>
      <c r="B269" s="1">
        <v>4.2520764556571899</v>
      </c>
      <c r="C269" s="1">
        <v>4.7078683369035099</v>
      </c>
      <c r="D269" s="1">
        <v>5.3077596149844801</v>
      </c>
      <c r="E269" s="13">
        <f t="shared" si="12"/>
        <v>105.56831593272902</v>
      </c>
      <c r="F269" s="13">
        <f t="shared" si="13"/>
        <v>-0.67691774170003782</v>
      </c>
      <c r="G269" s="13">
        <f t="shared" si="14"/>
        <v>-17.776048775643982</v>
      </c>
    </row>
    <row r="270" spans="1:7" x14ac:dyDescent="0.2">
      <c r="A270" s="9">
        <v>45673</v>
      </c>
      <c r="B270" s="1">
        <v>4.1822178343459502</v>
      </c>
      <c r="C270" s="1">
        <v>4.6725349499391102</v>
      </c>
      <c r="D270" s="1">
        <v>5.2461040808134403</v>
      </c>
      <c r="E270" s="13">
        <f t="shared" si="12"/>
        <v>106.38862464674901</v>
      </c>
      <c r="F270" s="13">
        <f t="shared" si="13"/>
        <v>0.82030871401998695</v>
      </c>
      <c r="G270" s="13">
        <f t="shared" si="14"/>
        <v>-3.5333386964399693</v>
      </c>
    </row>
    <row r="271" spans="1:7" x14ac:dyDescent="0.2">
      <c r="A271" s="9">
        <v>45674</v>
      </c>
      <c r="B271" s="1">
        <v>4.1726940055462904</v>
      </c>
      <c r="C271" s="1">
        <v>4.6482798754571704</v>
      </c>
      <c r="D271" s="1">
        <v>5.2132136338219803</v>
      </c>
      <c r="E271" s="13">
        <f t="shared" si="12"/>
        <v>104.05196282756899</v>
      </c>
      <c r="F271" s="13">
        <f t="shared" si="13"/>
        <v>-2.3366618191800228</v>
      </c>
      <c r="G271" s="13">
        <f t="shared" si="14"/>
        <v>-2.4255074481939864</v>
      </c>
    </row>
    <row r="272" spans="1:7" x14ac:dyDescent="0.2">
      <c r="A272" s="9">
        <v>45677</v>
      </c>
      <c r="B272" s="1">
        <v>4.18713739756378</v>
      </c>
      <c r="C272" s="1">
        <v>4.6603007885275796</v>
      </c>
      <c r="D272" s="1">
        <v>5.2238862526298</v>
      </c>
      <c r="E272" s="13">
        <f t="shared" si="12"/>
        <v>103.674885506602</v>
      </c>
      <c r="F272" s="13">
        <f t="shared" si="13"/>
        <v>-0.37707732096698976</v>
      </c>
      <c r="G272" s="13">
        <f t="shared" si="14"/>
        <v>1.20209130704092</v>
      </c>
    </row>
    <row r="273" spans="1:7" x14ac:dyDescent="0.2">
      <c r="A273" s="9">
        <v>45678</v>
      </c>
      <c r="B273" s="1">
        <v>4.1491178315477901</v>
      </c>
      <c r="C273" s="1">
        <v>4.5933276240073599</v>
      </c>
      <c r="D273" s="1">
        <v>5.1695440920389402</v>
      </c>
      <c r="E273" s="13">
        <f t="shared" si="12"/>
        <v>102.042626049115</v>
      </c>
      <c r="F273" s="13">
        <f t="shared" si="13"/>
        <v>-1.6322594574869953</v>
      </c>
      <c r="G273" s="13">
        <f t="shared" si="14"/>
        <v>-6.6973164520219619</v>
      </c>
    </row>
    <row r="274" spans="1:7" x14ac:dyDescent="0.2">
      <c r="A274" s="9">
        <v>45679</v>
      </c>
      <c r="B274" s="1">
        <v>4.1503035046519798</v>
      </c>
      <c r="C274" s="1">
        <v>4.59949817422312</v>
      </c>
      <c r="D274" s="1">
        <v>5.1584490012628796</v>
      </c>
      <c r="E274" s="13">
        <f t="shared" si="12"/>
        <v>100.81454966108998</v>
      </c>
      <c r="F274" s="13">
        <f t="shared" si="13"/>
        <v>-1.2280763880250163</v>
      </c>
      <c r="G274" s="13">
        <f t="shared" si="14"/>
        <v>0.61705502157600733</v>
      </c>
    </row>
    <row r="275" spans="1:7" x14ac:dyDescent="0.2">
      <c r="A275" s="9">
        <v>45680</v>
      </c>
      <c r="B275" s="1">
        <v>4.1316812795764601</v>
      </c>
      <c r="C275" s="1">
        <v>4.62732371032833</v>
      </c>
      <c r="D275" s="1">
        <v>5.1955303476027099</v>
      </c>
      <c r="E275" s="13">
        <f t="shared" si="12"/>
        <v>106.38490680262498</v>
      </c>
      <c r="F275" s="13">
        <f t="shared" si="13"/>
        <v>5.5703571415349984</v>
      </c>
      <c r="G275" s="13">
        <f t="shared" si="14"/>
        <v>2.7825536105209991</v>
      </c>
    </row>
    <row r="276" spans="1:7" x14ac:dyDescent="0.2">
      <c r="A276" s="9">
        <v>45681</v>
      </c>
      <c r="B276" s="1">
        <v>4.1399407800432302</v>
      </c>
      <c r="C276" s="1">
        <v>4.6272598322976997</v>
      </c>
      <c r="D276" s="1">
        <v>5.2092721485614701</v>
      </c>
      <c r="E276" s="13">
        <f t="shared" si="12"/>
        <v>106.933136851824</v>
      </c>
      <c r="F276" s="13">
        <f t="shared" si="13"/>
        <v>0.54823004919902019</v>
      </c>
      <c r="G276" s="13">
        <f t="shared" si="14"/>
        <v>-6.3878030630348803E-3</v>
      </c>
    </row>
    <row r="277" spans="1:7" x14ac:dyDescent="0.2">
      <c r="A277" s="9">
        <v>45684</v>
      </c>
      <c r="B277" s="1">
        <v>4.1041488488151003</v>
      </c>
      <c r="C277" s="1">
        <v>4.5778889333687802</v>
      </c>
      <c r="D277" s="1">
        <v>5.1509167550273496</v>
      </c>
      <c r="E277" s="13">
        <f t="shared" si="12"/>
        <v>104.67679062122492</v>
      </c>
      <c r="F277" s="13">
        <f t="shared" si="13"/>
        <v>-2.2563462305990782</v>
      </c>
      <c r="G277" s="13">
        <f t="shared" si="14"/>
        <v>-4.9370898928919438</v>
      </c>
    </row>
    <row r="278" spans="1:7" x14ac:dyDescent="0.2">
      <c r="A278" s="9">
        <v>45685</v>
      </c>
      <c r="B278" s="1">
        <v>4.1268533649760197</v>
      </c>
      <c r="C278" s="1">
        <v>4.6109654385553203</v>
      </c>
      <c r="D278" s="1">
        <v>5.1885429886178498</v>
      </c>
      <c r="E278" s="13">
        <f t="shared" si="12"/>
        <v>106.168962364183</v>
      </c>
      <c r="F278" s="13">
        <f t="shared" si="13"/>
        <v>1.4921717429580781</v>
      </c>
      <c r="G278" s="13">
        <f t="shared" si="14"/>
        <v>3.3076505186540039</v>
      </c>
    </row>
    <row r="279" spans="1:7" x14ac:dyDescent="0.2">
      <c r="A279" s="9">
        <v>45686</v>
      </c>
      <c r="B279" s="1">
        <v>4.1334803611966198</v>
      </c>
      <c r="C279" s="1">
        <v>4.5984149344787202</v>
      </c>
      <c r="D279" s="1">
        <v>5.1676613391855799</v>
      </c>
      <c r="E279" s="13">
        <f t="shared" si="12"/>
        <v>103.41809779889601</v>
      </c>
      <c r="F279" s="13">
        <f t="shared" si="13"/>
        <v>-2.7508645652869887</v>
      </c>
      <c r="G279" s="13">
        <f t="shared" si="14"/>
        <v>-1.2550504076600077</v>
      </c>
    </row>
    <row r="280" spans="1:7" x14ac:dyDescent="0.2">
      <c r="A280" s="9">
        <v>45687</v>
      </c>
      <c r="B280" s="1">
        <v>4.06193598226095</v>
      </c>
      <c r="C280" s="1">
        <v>4.5600472150451896</v>
      </c>
      <c r="D280" s="1">
        <v>5.1402031144578801</v>
      </c>
      <c r="E280" s="13">
        <f t="shared" si="12"/>
        <v>107.82671321969302</v>
      </c>
      <c r="F280" s="13">
        <f t="shared" si="13"/>
        <v>4.4086154207970054</v>
      </c>
      <c r="G280" s="13">
        <f t="shared" si="14"/>
        <v>-3.8367719433530567</v>
      </c>
    </row>
    <row r="281" spans="1:7" x14ac:dyDescent="0.2">
      <c r="A281" s="9">
        <v>45688</v>
      </c>
      <c r="B281" s="1">
        <v>4.0116957179484496</v>
      </c>
      <c r="C281" s="1">
        <v>4.5378672199748902</v>
      </c>
      <c r="D281" s="1">
        <v>5.1384497685942296</v>
      </c>
      <c r="E281" s="13">
        <f t="shared" si="12"/>
        <v>112.675405064578</v>
      </c>
      <c r="F281" s="13">
        <f t="shared" si="13"/>
        <v>4.8486918448849821</v>
      </c>
      <c r="G281" s="13">
        <f t="shared" si="14"/>
        <v>-2.2179995070299441</v>
      </c>
    </row>
    <row r="282" spans="1:7" x14ac:dyDescent="0.2">
      <c r="A282" s="9">
        <v>45691</v>
      </c>
      <c r="B282" s="1">
        <v>3.95442068291654</v>
      </c>
      <c r="C282" s="1">
        <v>4.4963407075681303</v>
      </c>
      <c r="D282" s="1">
        <v>5.1139360143417898</v>
      </c>
      <c r="E282" s="13">
        <f t="shared" si="12"/>
        <v>115.95153314252498</v>
      </c>
      <c r="F282" s="13">
        <f t="shared" si="13"/>
        <v>3.2761280779469786</v>
      </c>
      <c r="G282" s="13">
        <f t="shared" si="14"/>
        <v>-4.1526512406759863</v>
      </c>
    </row>
    <row r="283" spans="1:7" x14ac:dyDescent="0.2">
      <c r="A283" s="9">
        <v>45692</v>
      </c>
      <c r="B283" s="1">
        <v>3.9892625893591598</v>
      </c>
      <c r="C283" s="1">
        <v>4.5374379156420899</v>
      </c>
      <c r="D283" s="1">
        <v>5.1561010770754399</v>
      </c>
      <c r="E283" s="13">
        <f t="shared" si="12"/>
        <v>116.68384877162801</v>
      </c>
      <c r="F283" s="13">
        <f t="shared" si="13"/>
        <v>0.73231562910302728</v>
      </c>
      <c r="G283" s="13">
        <f t="shared" si="14"/>
        <v>4.1097208073959557</v>
      </c>
    </row>
    <row r="284" spans="1:7" x14ac:dyDescent="0.2">
      <c r="A284" s="9">
        <v>45693</v>
      </c>
      <c r="B284" s="1">
        <v>3.9471191344890602</v>
      </c>
      <c r="C284" s="1">
        <v>4.44214472306966</v>
      </c>
      <c r="D284" s="1">
        <v>5.0506089534202898</v>
      </c>
      <c r="E284" s="13">
        <f t="shared" si="12"/>
        <v>110.34898189312297</v>
      </c>
      <c r="F284" s="13">
        <f t="shared" si="13"/>
        <v>-6.3348668785050393</v>
      </c>
      <c r="G284" s="13">
        <f t="shared" si="14"/>
        <v>-9.5293192572429852</v>
      </c>
    </row>
    <row r="285" spans="1:7" x14ac:dyDescent="0.2">
      <c r="A285" s="9">
        <v>45694</v>
      </c>
      <c r="B285" s="1">
        <v>3.9381616951136702</v>
      </c>
      <c r="C285" s="1">
        <v>4.4684913692200201</v>
      </c>
      <c r="D285" s="1">
        <v>5.0647843995496702</v>
      </c>
      <c r="E285" s="13">
        <f t="shared" si="12"/>
        <v>112.66227044359999</v>
      </c>
      <c r="F285" s="13">
        <f t="shared" si="13"/>
        <v>2.3132885504770258</v>
      </c>
      <c r="G285" s="13">
        <f t="shared" si="14"/>
        <v>2.6346646150360087</v>
      </c>
    </row>
    <row r="286" spans="1:7" x14ac:dyDescent="0.2">
      <c r="A286" s="9">
        <v>45695</v>
      </c>
      <c r="B286" s="1">
        <v>3.95924684279343</v>
      </c>
      <c r="C286" s="1">
        <v>4.4938802897908401</v>
      </c>
      <c r="D286" s="1">
        <v>5.0829662177386004</v>
      </c>
      <c r="E286" s="13">
        <f t="shared" si="12"/>
        <v>112.37193749451704</v>
      </c>
      <c r="F286" s="13">
        <f t="shared" si="13"/>
        <v>-0.29033294908295204</v>
      </c>
      <c r="G286" s="13">
        <f t="shared" si="14"/>
        <v>2.5388920570819984</v>
      </c>
    </row>
    <row r="287" spans="1:7" x14ac:dyDescent="0.2">
      <c r="A287" s="9">
        <v>45698</v>
      </c>
      <c r="B287" s="1">
        <v>3.9264132180303402</v>
      </c>
      <c r="C287" s="1">
        <v>4.4678035873482296</v>
      </c>
      <c r="D287" s="1">
        <v>5.0818923947035097</v>
      </c>
      <c r="E287" s="13">
        <f t="shared" si="12"/>
        <v>115.54791766731695</v>
      </c>
      <c r="F287" s="13">
        <f t="shared" si="13"/>
        <v>3.1759801727999104</v>
      </c>
      <c r="G287" s="13">
        <f t="shared" si="14"/>
        <v>-2.6076702442610511</v>
      </c>
    </row>
    <row r="288" spans="1:7" x14ac:dyDescent="0.2">
      <c r="A288" s="9">
        <v>45699</v>
      </c>
      <c r="B288" s="1">
        <v>3.97773299447582</v>
      </c>
      <c r="C288" s="1">
        <v>4.5261318990510802</v>
      </c>
      <c r="D288" s="1">
        <v>5.1317675049802602</v>
      </c>
      <c r="E288" s="13">
        <f t="shared" si="12"/>
        <v>115.40345105044403</v>
      </c>
      <c r="F288" s="13">
        <f t="shared" si="13"/>
        <v>-0.14446661687291851</v>
      </c>
      <c r="G288" s="13">
        <f t="shared" si="14"/>
        <v>5.8328311702850577</v>
      </c>
    </row>
    <row r="289" spans="1:7" x14ac:dyDescent="0.2">
      <c r="A289" s="9">
        <v>45700</v>
      </c>
      <c r="B289" s="1">
        <v>4.0021774377610102</v>
      </c>
      <c r="C289" s="1">
        <v>4.5745010286207703</v>
      </c>
      <c r="D289" s="1">
        <v>5.1843268953236397</v>
      </c>
      <c r="E289" s="13">
        <f t="shared" si="12"/>
        <v>118.21494575626295</v>
      </c>
      <c r="F289" s="13">
        <f t="shared" si="13"/>
        <v>2.8114947058189159</v>
      </c>
      <c r="G289" s="13">
        <f t="shared" si="14"/>
        <v>4.8369129569690195</v>
      </c>
    </row>
    <row r="290" spans="1:7" x14ac:dyDescent="0.2">
      <c r="A290" s="9">
        <v>45701</v>
      </c>
      <c r="B290" s="1">
        <v>3.9679706470593201</v>
      </c>
      <c r="C290" s="1">
        <v>4.4900031694254698</v>
      </c>
      <c r="D290" s="1">
        <v>5.0989001910147804</v>
      </c>
      <c r="E290" s="13">
        <f t="shared" si="12"/>
        <v>113.09295439554603</v>
      </c>
      <c r="F290" s="13">
        <f t="shared" si="13"/>
        <v>-5.121991360716919</v>
      </c>
      <c r="G290" s="13">
        <f t="shared" si="14"/>
        <v>-8.4497859195300506</v>
      </c>
    </row>
    <row r="291" spans="1:7" x14ac:dyDescent="0.2">
      <c r="A291" s="9">
        <v>45702</v>
      </c>
      <c r="B291" s="1">
        <v>3.98767471220703</v>
      </c>
      <c r="C291" s="1">
        <v>4.4990427751370401</v>
      </c>
      <c r="D291" s="1">
        <v>5.1099139228594597</v>
      </c>
      <c r="E291" s="13">
        <f t="shared" si="12"/>
        <v>112.22392106524298</v>
      </c>
      <c r="F291" s="13">
        <f t="shared" si="13"/>
        <v>-0.86903333030305419</v>
      </c>
      <c r="G291" s="13">
        <f t="shared" si="14"/>
        <v>0.90396057115702533</v>
      </c>
    </row>
    <row r="292" spans="1:7" x14ac:dyDescent="0.2">
      <c r="A292" s="9">
        <v>45705</v>
      </c>
      <c r="B292" s="1">
        <v>3.98878717048169</v>
      </c>
      <c r="C292" s="1">
        <v>4.5326121197090199</v>
      </c>
      <c r="D292" s="1">
        <v>5.1464303015987198</v>
      </c>
      <c r="E292" s="13">
        <f t="shared" si="12"/>
        <v>115.76431311170299</v>
      </c>
      <c r="F292" s="13">
        <f t="shared" si="13"/>
        <v>3.5403920464600134</v>
      </c>
      <c r="G292" s="13">
        <f t="shared" si="14"/>
        <v>3.3569344571979798</v>
      </c>
    </row>
    <row r="293" spans="1:7" x14ac:dyDescent="0.2">
      <c r="A293" s="9">
        <v>45706</v>
      </c>
      <c r="B293" s="1">
        <v>4.02737643964387</v>
      </c>
      <c r="C293" s="1">
        <v>4.5673384758226598</v>
      </c>
      <c r="D293" s="1">
        <v>5.1764863756022699</v>
      </c>
      <c r="E293" s="13">
        <f t="shared" si="12"/>
        <v>114.91099359583998</v>
      </c>
      <c r="F293" s="13">
        <f t="shared" si="13"/>
        <v>-0.85331951586300647</v>
      </c>
      <c r="G293" s="13">
        <f t="shared" si="14"/>
        <v>3.4726356113639945</v>
      </c>
    </row>
    <row r="294" spans="1:7" x14ac:dyDescent="0.2">
      <c r="A294" s="9">
        <v>45707</v>
      </c>
      <c r="B294" s="1">
        <v>4.0606068725599904</v>
      </c>
      <c r="C294" s="1">
        <v>4.6197708901931103</v>
      </c>
      <c r="D294" s="1">
        <v>5.2185135941799201</v>
      </c>
      <c r="E294" s="13">
        <f t="shared" si="12"/>
        <v>115.79067216199297</v>
      </c>
      <c r="F294" s="13">
        <f t="shared" si="13"/>
        <v>0.87967856615298956</v>
      </c>
      <c r="G294" s="13">
        <f t="shared" si="14"/>
        <v>5.2432414370450431</v>
      </c>
    </row>
    <row r="295" spans="1:7" x14ac:dyDescent="0.2">
      <c r="A295" s="9">
        <v>45708</v>
      </c>
      <c r="B295" s="1">
        <v>4.06207638025497</v>
      </c>
      <c r="C295" s="1">
        <v>4.62445934703831</v>
      </c>
      <c r="D295" s="1">
        <v>5.2327977954230702</v>
      </c>
      <c r="E295" s="13">
        <f t="shared" si="12"/>
        <v>117.07214151681002</v>
      </c>
      <c r="F295" s="13">
        <f t="shared" si="13"/>
        <v>1.2814693548170482</v>
      </c>
      <c r="G295" s="13">
        <f t="shared" si="14"/>
        <v>0.46884568451996955</v>
      </c>
    </row>
    <row r="296" spans="1:7" x14ac:dyDescent="0.2">
      <c r="A296" s="9">
        <v>45709</v>
      </c>
      <c r="B296" s="1">
        <v>4.0282735808808496</v>
      </c>
      <c r="C296" s="1">
        <v>4.5864236641070697</v>
      </c>
      <c r="D296" s="1">
        <v>5.2024190839564897</v>
      </c>
      <c r="E296" s="13">
        <f t="shared" si="12"/>
        <v>117.414550307564</v>
      </c>
      <c r="F296" s="13">
        <f t="shared" si="13"/>
        <v>0.34240879075397856</v>
      </c>
      <c r="G296" s="13">
        <f t="shared" si="14"/>
        <v>-3.8035682931240267</v>
      </c>
    </row>
    <row r="297" spans="1:7" x14ac:dyDescent="0.2">
      <c r="A297" s="9">
        <v>45712</v>
      </c>
      <c r="B297" s="1">
        <v>4.0087957416838096</v>
      </c>
      <c r="C297" s="1">
        <v>4.5593498181295304</v>
      </c>
      <c r="D297" s="1">
        <v>5.18229205926961</v>
      </c>
      <c r="E297" s="13">
        <f t="shared" si="12"/>
        <v>117.34963175858005</v>
      </c>
      <c r="F297" s="13">
        <f t="shared" si="13"/>
        <v>-6.4918548983953883E-2</v>
      </c>
      <c r="G297" s="13">
        <f t="shared" si="14"/>
        <v>-2.7073845977539257</v>
      </c>
    </row>
    <row r="298" spans="1:7" x14ac:dyDescent="0.2">
      <c r="A298" s="9">
        <v>45713</v>
      </c>
      <c r="B298" s="1">
        <v>3.96309932693898</v>
      </c>
      <c r="C298" s="1">
        <v>4.5084410391951204</v>
      </c>
      <c r="D298" s="1">
        <v>5.1352584891587103</v>
      </c>
      <c r="E298" s="13">
        <f t="shared" si="12"/>
        <v>117.21591622197303</v>
      </c>
      <c r="F298" s="13">
        <f t="shared" si="13"/>
        <v>-0.13371553660701352</v>
      </c>
      <c r="G298" s="13">
        <f t="shared" si="14"/>
        <v>-5.0908778934410037</v>
      </c>
    </row>
    <row r="299" spans="1:7" x14ac:dyDescent="0.2">
      <c r="A299" s="9">
        <v>45714</v>
      </c>
      <c r="B299" s="1">
        <v>3.9712923041633199</v>
      </c>
      <c r="C299" s="1">
        <v>4.5197071048420501</v>
      </c>
      <c r="D299" s="1">
        <v>5.1348619264760798</v>
      </c>
      <c r="E299" s="13">
        <f t="shared" si="12"/>
        <v>116.35696223127599</v>
      </c>
      <c r="F299" s="13">
        <f t="shared" si="13"/>
        <v>-0.85895399069704581</v>
      </c>
      <c r="G299" s="13">
        <f t="shared" si="14"/>
        <v>1.1266065646929668</v>
      </c>
    </row>
    <row r="300" spans="1:7" x14ac:dyDescent="0.2">
      <c r="A300" s="9">
        <v>45715</v>
      </c>
      <c r="B300" s="1">
        <v>3.9758318412006499</v>
      </c>
      <c r="C300" s="1">
        <v>4.5338706143291398</v>
      </c>
      <c r="D300" s="1">
        <v>5.1640272508979699</v>
      </c>
      <c r="E300" s="13">
        <f t="shared" si="12"/>
        <v>118.819540969732</v>
      </c>
      <c r="F300" s="13">
        <f t="shared" si="13"/>
        <v>2.4625787384560169</v>
      </c>
      <c r="G300" s="13">
        <f t="shared" si="14"/>
        <v>1.4163509487089776</v>
      </c>
    </row>
    <row r="301" spans="1:7" x14ac:dyDescent="0.2">
      <c r="A301" s="9">
        <v>45716</v>
      </c>
      <c r="B301" s="1">
        <v>3.9499984876257099</v>
      </c>
      <c r="C301" s="1">
        <v>4.4835364132742903</v>
      </c>
      <c r="D301" s="1">
        <v>5.1182280286089599</v>
      </c>
      <c r="E301" s="13">
        <f t="shared" si="12"/>
        <v>116.822954098325</v>
      </c>
      <c r="F301" s="13">
        <f t="shared" si="13"/>
        <v>-1.9965868714070041</v>
      </c>
      <c r="G301" s="13">
        <f t="shared" si="14"/>
        <v>-5.0334201054849537</v>
      </c>
    </row>
    <row r="302" spans="1:7" x14ac:dyDescent="0.2">
      <c r="A302" s="9">
        <v>45719</v>
      </c>
      <c r="B302" s="1">
        <v>4.0050373725883199</v>
      </c>
      <c r="C302" s="1">
        <v>4.5463297986617004</v>
      </c>
      <c r="D302" s="1">
        <v>5.1906269341675202</v>
      </c>
      <c r="E302" s="13">
        <f t="shared" si="12"/>
        <v>118.55895615792002</v>
      </c>
      <c r="F302" s="13">
        <f t="shared" si="13"/>
        <v>1.7360020595950232</v>
      </c>
      <c r="G302" s="13">
        <f t="shared" si="14"/>
        <v>6.2793385387410083</v>
      </c>
    </row>
    <row r="303" spans="1:7" x14ac:dyDescent="0.2">
      <c r="A303" s="9">
        <v>45720</v>
      </c>
      <c r="B303" s="1">
        <v>3.9366232631059299</v>
      </c>
      <c r="C303" s="1">
        <v>4.4820670793673996</v>
      </c>
      <c r="D303" s="1">
        <v>5.1512707916823901</v>
      </c>
      <c r="E303" s="13">
        <f t="shared" si="12"/>
        <v>121.46475285764602</v>
      </c>
      <c r="F303" s="13">
        <f t="shared" si="13"/>
        <v>2.9057966997259967</v>
      </c>
      <c r="G303" s="13">
        <f t="shared" si="14"/>
        <v>-6.426271929430083</v>
      </c>
    </row>
    <row r="304" spans="1:7" x14ac:dyDescent="0.2">
      <c r="A304" s="9">
        <v>45721</v>
      </c>
      <c r="B304" s="1">
        <v>4.0525599655481299</v>
      </c>
      <c r="C304" s="1">
        <v>4.6621199926821504</v>
      </c>
      <c r="D304" s="1">
        <v>5.3088130532070803</v>
      </c>
      <c r="E304" s="13">
        <f t="shared" si="12"/>
        <v>125.62530876589504</v>
      </c>
      <c r="F304" s="13">
        <f t="shared" si="13"/>
        <v>4.1605559082490231</v>
      </c>
      <c r="G304" s="13">
        <f t="shared" si="14"/>
        <v>18.005291331475082</v>
      </c>
    </row>
    <row r="305" spans="1:7" x14ac:dyDescent="0.2">
      <c r="A305" s="9">
        <v>45722</v>
      </c>
      <c r="B305" s="1">
        <v>4.0387599958808504</v>
      </c>
      <c r="C305" s="1">
        <v>4.6843624739503298</v>
      </c>
      <c r="D305" s="1">
        <v>5.3173899429872096</v>
      </c>
      <c r="E305" s="13">
        <f t="shared" si="12"/>
        <v>127.86299471063592</v>
      </c>
      <c r="F305" s="13">
        <f t="shared" si="13"/>
        <v>2.2376859447408748</v>
      </c>
      <c r="G305" s="13">
        <f t="shared" si="14"/>
        <v>2.2242481268179404</v>
      </c>
    </row>
    <row r="306" spans="1:7" x14ac:dyDescent="0.2">
      <c r="A306" s="9">
        <v>45723</v>
      </c>
      <c r="B306" s="1">
        <v>4.0056367201382503</v>
      </c>
      <c r="C306" s="1">
        <v>4.6249491896671202</v>
      </c>
      <c r="D306" s="1">
        <v>5.2684100839910997</v>
      </c>
      <c r="E306" s="13">
        <f t="shared" si="12"/>
        <v>126.27733638528494</v>
      </c>
      <c r="F306" s="13">
        <f t="shared" si="13"/>
        <v>-1.5856583253509768</v>
      </c>
      <c r="G306" s="13">
        <f t="shared" si="14"/>
        <v>-5.9413284283209578</v>
      </c>
    </row>
    <row r="307" spans="1:7" x14ac:dyDescent="0.2">
      <c r="A307" s="9">
        <v>45726</v>
      </c>
      <c r="B307" s="1">
        <v>3.9737476960011899</v>
      </c>
      <c r="C307" s="1">
        <v>4.6049947187180598</v>
      </c>
      <c r="D307" s="1">
        <v>5.2665522808778098</v>
      </c>
      <c r="E307" s="13">
        <f t="shared" si="12"/>
        <v>129.28045848766197</v>
      </c>
      <c r="F307" s="13">
        <f t="shared" si="13"/>
        <v>3.0031221023770343</v>
      </c>
      <c r="G307" s="13">
        <f t="shared" si="14"/>
        <v>-1.9954470949060443</v>
      </c>
    </row>
    <row r="308" spans="1:7" x14ac:dyDescent="0.2">
      <c r="A308" s="9">
        <v>45727</v>
      </c>
      <c r="B308" s="1">
        <v>3.9590874807349699</v>
      </c>
      <c r="C308" s="1">
        <v>4.6450423976166997</v>
      </c>
      <c r="D308" s="1">
        <v>5.33568721498622</v>
      </c>
      <c r="E308" s="13">
        <f t="shared" si="12"/>
        <v>137.659973425125</v>
      </c>
      <c r="F308" s="13">
        <f t="shared" si="13"/>
        <v>8.3795149374630284</v>
      </c>
      <c r="G308" s="13">
        <f t="shared" si="14"/>
        <v>4.0047678898639916</v>
      </c>
    </row>
    <row r="309" spans="1:7" x14ac:dyDescent="0.2">
      <c r="A309" s="9">
        <v>45728</v>
      </c>
      <c r="B309" s="1">
        <v>4.0131080006062101</v>
      </c>
      <c r="C309" s="1">
        <v>4.7018116948748903</v>
      </c>
      <c r="D309" s="1">
        <v>5.3926580354296298</v>
      </c>
      <c r="E309" s="13">
        <f t="shared" si="12"/>
        <v>137.95500348234197</v>
      </c>
      <c r="F309" s="13">
        <f t="shared" si="13"/>
        <v>0.2950300572169624</v>
      </c>
      <c r="G309" s="13">
        <f t="shared" si="14"/>
        <v>5.6769297258190576</v>
      </c>
    </row>
    <row r="310" spans="1:7" x14ac:dyDescent="0.2">
      <c r="A310" s="9">
        <v>45729</v>
      </c>
      <c r="B310" s="1">
        <v>3.98657035917268</v>
      </c>
      <c r="C310" s="1">
        <v>4.6644559897627502</v>
      </c>
      <c r="D310" s="1">
        <v>5.3533540779283904</v>
      </c>
      <c r="E310" s="13">
        <f t="shared" si="12"/>
        <v>136.67837187557103</v>
      </c>
      <c r="F310" s="13">
        <f t="shared" si="13"/>
        <v>-1.276631606770934</v>
      </c>
      <c r="G310" s="13">
        <f t="shared" si="14"/>
        <v>-3.7355705112140036</v>
      </c>
    </row>
    <row r="311" spans="1:7" x14ac:dyDescent="0.2">
      <c r="A311" s="9">
        <v>45730</v>
      </c>
      <c r="B311" s="1">
        <v>3.9692778403228099</v>
      </c>
      <c r="C311" s="1">
        <v>4.6425029537185303</v>
      </c>
      <c r="D311" s="1">
        <v>5.3275344732821601</v>
      </c>
      <c r="E311" s="13">
        <f t="shared" si="12"/>
        <v>135.82566329593502</v>
      </c>
      <c r="F311" s="13">
        <f t="shared" si="13"/>
        <v>-0.85270857963601543</v>
      </c>
      <c r="G311" s="13">
        <f t="shared" si="14"/>
        <v>-2.1953036044219942</v>
      </c>
    </row>
    <row r="312" spans="1:7" x14ac:dyDescent="0.2">
      <c r="A312" s="9">
        <v>45733</v>
      </c>
      <c r="B312" s="1">
        <v>3.97348869280744</v>
      </c>
      <c r="C312" s="1">
        <v>4.6027312940600096</v>
      </c>
      <c r="D312" s="1">
        <v>5.2623850088610498</v>
      </c>
      <c r="E312" s="13">
        <f t="shared" si="12"/>
        <v>128.88963160536099</v>
      </c>
      <c r="F312" s="13">
        <f t="shared" si="13"/>
        <v>-6.9360316905740262</v>
      </c>
      <c r="G312" s="13">
        <f t="shared" si="14"/>
        <v>-3.9771659658520697</v>
      </c>
    </row>
    <row r="313" spans="1:7" x14ac:dyDescent="0.2">
      <c r="A313" s="9">
        <v>45734</v>
      </c>
      <c r="B313" s="1">
        <v>3.9892784752392298</v>
      </c>
      <c r="C313" s="1">
        <v>4.6178619329712598</v>
      </c>
      <c r="D313" s="1">
        <v>5.2782298401599697</v>
      </c>
      <c r="E313" s="13">
        <f t="shared" si="12"/>
        <v>128.89513649207399</v>
      </c>
      <c r="F313" s="13">
        <f t="shared" si="13"/>
        <v>5.5048867129983137E-3</v>
      </c>
      <c r="G313" s="13">
        <f t="shared" si="14"/>
        <v>1.5130638911250216</v>
      </c>
    </row>
    <row r="314" spans="1:7" x14ac:dyDescent="0.2">
      <c r="A314" s="9">
        <v>45735</v>
      </c>
      <c r="B314" s="1">
        <v>3.9906272799772702</v>
      </c>
      <c r="C314" s="1">
        <v>4.6122567786650901</v>
      </c>
      <c r="D314" s="1">
        <v>5.26727890543253</v>
      </c>
      <c r="E314" s="13">
        <f t="shared" si="12"/>
        <v>127.66516254552597</v>
      </c>
      <c r="F314" s="13">
        <f t="shared" si="13"/>
        <v>-1.2299739465480144</v>
      </c>
      <c r="G314" s="13">
        <f t="shared" si="14"/>
        <v>-0.56051543061697018</v>
      </c>
    </row>
    <row r="315" spans="1:7" x14ac:dyDescent="0.2">
      <c r="A315" s="9">
        <v>45736</v>
      </c>
      <c r="B315" s="1">
        <v>4.0413670736239098</v>
      </c>
      <c r="C315" s="1">
        <v>4.63223908060061</v>
      </c>
      <c r="D315" s="1">
        <v>5.2717716912010602</v>
      </c>
      <c r="E315" s="13">
        <f t="shared" si="12"/>
        <v>123.04046175771504</v>
      </c>
      <c r="F315" s="13">
        <f t="shared" si="13"/>
        <v>-4.6247007878109372</v>
      </c>
      <c r="G315" s="13">
        <f t="shared" si="14"/>
        <v>1.9982301935519864</v>
      </c>
    </row>
    <row r="316" spans="1:7" x14ac:dyDescent="0.2">
      <c r="A316" s="9">
        <v>45737</v>
      </c>
      <c r="B316" s="1">
        <v>4.0418741715913802</v>
      </c>
      <c r="C316" s="1">
        <v>4.67599883792996</v>
      </c>
      <c r="D316" s="1">
        <v>5.3490544249161802</v>
      </c>
      <c r="E316" s="13">
        <f t="shared" si="12"/>
        <v>130.71802533248001</v>
      </c>
      <c r="F316" s="13">
        <f t="shared" si="13"/>
        <v>7.6775635747649744</v>
      </c>
      <c r="G316" s="13">
        <f t="shared" si="14"/>
        <v>4.3759757329350002</v>
      </c>
    </row>
    <row r="317" spans="1:7" x14ac:dyDescent="0.2">
      <c r="A317" s="9">
        <v>45740</v>
      </c>
      <c r="B317" s="1">
        <v>4.0533278279195999</v>
      </c>
      <c r="C317" s="1">
        <v>4.7025367490077601</v>
      </c>
      <c r="D317" s="1">
        <v>5.3841716315371801</v>
      </c>
      <c r="E317" s="13">
        <f t="shared" si="12"/>
        <v>133.08438036175804</v>
      </c>
      <c r="F317" s="13">
        <f t="shared" si="13"/>
        <v>2.3663550292780258</v>
      </c>
      <c r="G317" s="13">
        <f t="shared" si="14"/>
        <v>2.6537911077800125</v>
      </c>
    </row>
    <row r="318" spans="1:7" x14ac:dyDescent="0.2">
      <c r="A318" s="9">
        <v>45741</v>
      </c>
      <c r="B318" s="1">
        <v>4.0800626196082597</v>
      </c>
      <c r="C318" s="1">
        <v>4.7293825390017998</v>
      </c>
      <c r="D318" s="1">
        <v>5.4229627894072303</v>
      </c>
      <c r="E318" s="13">
        <f t="shared" si="12"/>
        <v>134.29001697989708</v>
      </c>
      <c r="F318" s="13">
        <f t="shared" si="13"/>
        <v>1.2056366181390388</v>
      </c>
      <c r="G318" s="13">
        <f t="shared" si="14"/>
        <v>2.6845789994039748</v>
      </c>
    </row>
    <row r="319" spans="1:7" x14ac:dyDescent="0.2">
      <c r="A319" s="9">
        <v>45742</v>
      </c>
      <c r="B319" s="1">
        <v>4.0606521176633699</v>
      </c>
      <c r="C319" s="1">
        <v>4.7021719135520597</v>
      </c>
      <c r="D319" s="1">
        <v>5.3470938368999796</v>
      </c>
      <c r="E319" s="13">
        <f t="shared" si="12"/>
        <v>128.64417192366096</v>
      </c>
      <c r="F319" s="13">
        <f t="shared" si="13"/>
        <v>-5.6458450562361122</v>
      </c>
      <c r="G319" s="13">
        <f t="shared" si="14"/>
        <v>-2.7210625449740178</v>
      </c>
    </row>
    <row r="320" spans="1:7" x14ac:dyDescent="0.2">
      <c r="A320" s="9">
        <v>45743</v>
      </c>
      <c r="B320" s="1">
        <v>4.0556161538276401</v>
      </c>
      <c r="C320" s="1">
        <v>4.7699204149385404</v>
      </c>
      <c r="D320" s="1">
        <v>5.4141166615299596</v>
      </c>
      <c r="E320" s="13">
        <f t="shared" si="12"/>
        <v>135.85005077023195</v>
      </c>
      <c r="F320" s="13">
        <f t="shared" si="13"/>
        <v>7.2058788465709824</v>
      </c>
      <c r="G320" s="13">
        <f t="shared" si="14"/>
        <v>6.7748501386480697</v>
      </c>
    </row>
    <row r="321" spans="1:7" x14ac:dyDescent="0.2">
      <c r="A321" s="9">
        <v>45744</v>
      </c>
      <c r="B321" s="1">
        <v>4.0015299050794102</v>
      </c>
      <c r="C321" s="1">
        <v>4.68802428091566</v>
      </c>
      <c r="D321" s="1">
        <v>5.3526449278440502</v>
      </c>
      <c r="E321" s="13">
        <f t="shared" si="12"/>
        <v>135.11150227646399</v>
      </c>
      <c r="F321" s="13">
        <f t="shared" si="13"/>
        <v>-0.73854849376795073</v>
      </c>
      <c r="G321" s="13">
        <f t="shared" si="14"/>
        <v>-8.1896134022880318</v>
      </c>
    </row>
    <row r="322" spans="1:7" x14ac:dyDescent="0.2">
      <c r="A322" s="9">
        <v>45747</v>
      </c>
      <c r="B322" s="1">
        <v>3.9881133873103001</v>
      </c>
      <c r="C322" s="1">
        <v>4.6610878418761299</v>
      </c>
      <c r="D322" s="1">
        <v>5.3391102650999001</v>
      </c>
      <c r="E322" s="13">
        <f t="shared" si="12"/>
        <v>135.09968777896</v>
      </c>
      <c r="F322" s="13">
        <f t="shared" si="13"/>
        <v>-1.1814497503991106E-2</v>
      </c>
      <c r="G322" s="13">
        <f t="shared" si="14"/>
        <v>-2.6936439039530136</v>
      </c>
    </row>
    <row r="323" spans="1:7" x14ac:dyDescent="0.2">
      <c r="A323" s="9">
        <v>45748</v>
      </c>
      <c r="B323" s="1">
        <v>3.9729466075877</v>
      </c>
      <c r="C323" s="1">
        <v>4.6212732732105497</v>
      </c>
      <c r="D323" s="1">
        <v>5.3116597287504197</v>
      </c>
      <c r="E323" s="13">
        <f t="shared" si="12"/>
        <v>133.87131211627198</v>
      </c>
      <c r="F323" s="13">
        <f t="shared" si="13"/>
        <v>-1.2283756626880233</v>
      </c>
      <c r="G323" s="13">
        <f t="shared" si="14"/>
        <v>-3.9814568665580197</v>
      </c>
    </row>
    <row r="324" spans="1:7" x14ac:dyDescent="0.2">
      <c r="A324" s="9">
        <v>45749</v>
      </c>
      <c r="B324" s="1">
        <v>3.9582847710544899</v>
      </c>
      <c r="C324" s="1">
        <v>4.6129976942156201</v>
      </c>
      <c r="D324" s="1">
        <v>5.2992489393511804</v>
      </c>
      <c r="E324" s="13">
        <f t="shared" si="12"/>
        <v>134.09641682966904</v>
      </c>
      <c r="F324" s="13">
        <f t="shared" si="13"/>
        <v>0.22510471339705873</v>
      </c>
      <c r="G324" s="13">
        <f t="shared" si="14"/>
        <v>-0.82755789949295888</v>
      </c>
    </row>
    <row r="325" spans="1:7" x14ac:dyDescent="0.2">
      <c r="A325" s="9">
        <v>45750</v>
      </c>
      <c r="B325" s="1">
        <v>3.8020964241480302</v>
      </c>
      <c r="C325" s="1">
        <v>4.5004041797124996</v>
      </c>
      <c r="D325" s="1">
        <v>5.2491371889234797</v>
      </c>
      <c r="E325" s="13">
        <f t="shared" si="12"/>
        <v>144.70407647754496</v>
      </c>
      <c r="F325" s="13">
        <f t="shared" si="13"/>
        <v>10.60765964787592</v>
      </c>
      <c r="G325" s="13">
        <f t="shared" si="14"/>
        <v>-11.25935145031205</v>
      </c>
    </row>
    <row r="326" spans="1:7" x14ac:dyDescent="0.2">
      <c r="A326" s="9">
        <v>45751</v>
      </c>
      <c r="B326" s="1">
        <v>3.74067855186293</v>
      </c>
      <c r="C326" s="1">
        <v>4.4478973096772503</v>
      </c>
      <c r="D326" s="1">
        <v>5.1985955425347496</v>
      </c>
      <c r="E326" s="13">
        <f t="shared" si="12"/>
        <v>145.79169906718198</v>
      </c>
      <c r="F326" s="13">
        <f t="shared" si="13"/>
        <v>1.0876225896370215</v>
      </c>
      <c r="G326" s="13">
        <f t="shared" si="14"/>
        <v>-5.2506870035249342</v>
      </c>
    </row>
    <row r="327" spans="1:7" x14ac:dyDescent="0.2">
      <c r="A327" s="9">
        <v>45754</v>
      </c>
      <c r="B327" s="1">
        <v>3.7854097075271098</v>
      </c>
      <c r="C327" s="1">
        <v>4.5989155923570202</v>
      </c>
      <c r="D327" s="1">
        <v>5.3943737946211296</v>
      </c>
      <c r="E327" s="13">
        <f t="shared" ref="E327:E390" si="15">(D327-B327)*100</f>
        <v>160.89640870940198</v>
      </c>
      <c r="F327" s="13">
        <f t="shared" si="13"/>
        <v>15.104709642220001</v>
      </c>
      <c r="G327" s="13">
        <f t="shared" si="14"/>
        <v>15.101828267976991</v>
      </c>
    </row>
    <row r="328" spans="1:7" x14ac:dyDescent="0.2">
      <c r="A328" s="9">
        <v>45755</v>
      </c>
      <c r="B328" s="1">
        <v>3.75892005203964</v>
      </c>
      <c r="C328" s="1">
        <v>4.6006133482521996</v>
      </c>
      <c r="D328" s="1">
        <v>5.4535968623082596</v>
      </c>
      <c r="E328" s="13">
        <f t="shared" si="15"/>
        <v>169.46768102686195</v>
      </c>
      <c r="F328" s="13">
        <f t="shared" ref="F328:F391" si="16">E328-E327</f>
        <v>8.5712723174599716</v>
      </c>
      <c r="G328" s="13">
        <f t="shared" ref="G328:G391" si="17">(C328-C327)*100</f>
        <v>0.16977558951793981</v>
      </c>
    </row>
    <row r="329" spans="1:7" x14ac:dyDescent="0.2">
      <c r="A329" s="9">
        <v>45756</v>
      </c>
      <c r="B329" s="1">
        <v>3.74359228123659</v>
      </c>
      <c r="C329" s="1">
        <v>4.7415392203593703</v>
      </c>
      <c r="D329" s="1">
        <v>5.6413379321186401</v>
      </c>
      <c r="E329" s="13">
        <f t="shared" si="15"/>
        <v>189.77456508820501</v>
      </c>
      <c r="F329" s="13">
        <f t="shared" si="16"/>
        <v>20.306884061343055</v>
      </c>
      <c r="G329" s="13">
        <f t="shared" si="17"/>
        <v>14.092587210717067</v>
      </c>
    </row>
    <row r="330" spans="1:7" x14ac:dyDescent="0.2">
      <c r="A330" s="9">
        <v>45757</v>
      </c>
      <c r="B330" s="1">
        <v>3.7008768705328601</v>
      </c>
      <c r="C330" s="1">
        <v>4.6378843749940897</v>
      </c>
      <c r="D330" s="1">
        <v>5.5040894425667304</v>
      </c>
      <c r="E330" s="13">
        <f t="shared" si="15"/>
        <v>180.32125720338703</v>
      </c>
      <c r="F330" s="13">
        <f t="shared" si="16"/>
        <v>-9.4533078848179741</v>
      </c>
      <c r="G330" s="13">
        <f t="shared" si="17"/>
        <v>-10.365484536528058</v>
      </c>
    </row>
    <row r="331" spans="1:7" x14ac:dyDescent="0.2">
      <c r="A331" s="9">
        <v>45758</v>
      </c>
      <c r="B331" s="1">
        <v>3.82985322123033</v>
      </c>
      <c r="C331" s="1">
        <v>4.7441641743418304</v>
      </c>
      <c r="D331" s="1">
        <v>5.5985740878597596</v>
      </c>
      <c r="E331" s="13">
        <f t="shared" si="15"/>
        <v>176.87208666294296</v>
      </c>
      <c r="F331" s="13">
        <f t="shared" si="16"/>
        <v>-3.4491705404440722</v>
      </c>
      <c r="G331" s="13">
        <f t="shared" si="17"/>
        <v>10.627979934774068</v>
      </c>
    </row>
    <row r="332" spans="1:7" x14ac:dyDescent="0.2">
      <c r="A332" s="9">
        <v>45761</v>
      </c>
      <c r="B332" s="1">
        <v>3.8037702234836801</v>
      </c>
      <c r="C332" s="1">
        <v>4.6549223444747696</v>
      </c>
      <c r="D332" s="1">
        <v>5.4657396489203203</v>
      </c>
      <c r="E332" s="13">
        <f t="shared" si="15"/>
        <v>166.19694254366402</v>
      </c>
      <c r="F332" s="13">
        <f t="shared" si="16"/>
        <v>-10.67514411927894</v>
      </c>
      <c r="G332" s="13">
        <f t="shared" si="17"/>
        <v>-8.9241829867060751</v>
      </c>
    </row>
    <row r="333" spans="1:7" x14ac:dyDescent="0.2">
      <c r="A333" s="9">
        <v>45762</v>
      </c>
      <c r="B333" s="1">
        <v>3.7443162756527402</v>
      </c>
      <c r="C333" s="1">
        <v>4.6420852986016801</v>
      </c>
      <c r="D333" s="1">
        <v>5.5320760696903104</v>
      </c>
      <c r="E333" s="13">
        <f t="shared" si="15"/>
        <v>178.77597940375702</v>
      </c>
      <c r="F333" s="13">
        <f t="shared" si="16"/>
        <v>12.579036860092998</v>
      </c>
      <c r="G333" s="13">
        <f t="shared" si="17"/>
        <v>-1.2837045873089536</v>
      </c>
    </row>
    <row r="334" spans="1:7" x14ac:dyDescent="0.2">
      <c r="A334" s="9">
        <v>45763</v>
      </c>
      <c r="B334" s="1">
        <v>3.74590992472785</v>
      </c>
      <c r="C334" s="1">
        <v>4.6058099565340003</v>
      </c>
      <c r="D334" s="1">
        <v>5.4628090031368401</v>
      </c>
      <c r="E334" s="13">
        <f t="shared" si="15"/>
        <v>171.68990784089902</v>
      </c>
      <c r="F334" s="13">
        <f t="shared" si="16"/>
        <v>-7.0860715628579953</v>
      </c>
      <c r="G334" s="13">
        <f t="shared" si="17"/>
        <v>-3.6275342067679794</v>
      </c>
    </row>
    <row r="335" spans="1:7" x14ac:dyDescent="0.2">
      <c r="A335" s="9">
        <v>45764</v>
      </c>
      <c r="B335" s="1">
        <v>3.69840281052854</v>
      </c>
      <c r="C335" s="1">
        <v>4.5617401693060904</v>
      </c>
      <c r="D335" s="1">
        <v>5.4297900363578497</v>
      </c>
      <c r="E335" s="13">
        <f t="shared" si="15"/>
        <v>173.13872258293097</v>
      </c>
      <c r="F335" s="13">
        <f t="shared" si="16"/>
        <v>1.4488147420319422</v>
      </c>
      <c r="G335" s="13">
        <f t="shared" si="17"/>
        <v>-4.4069787227909885</v>
      </c>
    </row>
    <row r="336" spans="1:7" x14ac:dyDescent="0.2">
      <c r="A336" s="9">
        <v>45769</v>
      </c>
      <c r="B336" s="1">
        <v>3.6262758987138501</v>
      </c>
      <c r="C336" s="1">
        <v>4.5587049337572303</v>
      </c>
      <c r="D336" s="1">
        <v>5.4935432207936099</v>
      </c>
      <c r="E336" s="13">
        <f t="shared" si="15"/>
        <v>186.72673220797597</v>
      </c>
      <c r="F336" s="13">
        <f t="shared" si="16"/>
        <v>13.588009625045004</v>
      </c>
      <c r="G336" s="13">
        <f t="shared" si="17"/>
        <v>-0.30352355488600935</v>
      </c>
    </row>
    <row r="337" spans="1:7" x14ac:dyDescent="0.2">
      <c r="A337" s="9">
        <v>45770</v>
      </c>
      <c r="B337" s="1">
        <v>3.7067307949307802</v>
      </c>
      <c r="C337" s="1">
        <v>4.5594028075490503</v>
      </c>
      <c r="D337" s="1">
        <v>5.4047852867618698</v>
      </c>
      <c r="E337" s="13">
        <f t="shared" si="15"/>
        <v>169.80544918310895</v>
      </c>
      <c r="F337" s="13">
        <f t="shared" si="16"/>
        <v>-16.921283024867023</v>
      </c>
      <c r="G337" s="13">
        <f t="shared" si="17"/>
        <v>6.9787379181995846E-2</v>
      </c>
    </row>
    <row r="338" spans="1:7" x14ac:dyDescent="0.2">
      <c r="A338" s="9">
        <v>45771</v>
      </c>
      <c r="B338" s="1">
        <v>3.6593749769622099</v>
      </c>
      <c r="C338" s="1">
        <v>4.4979583517091903</v>
      </c>
      <c r="D338" s="1">
        <v>5.3275633071188997</v>
      </c>
      <c r="E338" s="13">
        <f t="shared" si="15"/>
        <v>166.81883301566899</v>
      </c>
      <c r="F338" s="13">
        <f t="shared" si="16"/>
        <v>-2.9866161674399621</v>
      </c>
      <c r="G338" s="13">
        <f t="shared" si="17"/>
        <v>-6.1444455839859913</v>
      </c>
    </row>
    <row r="339" spans="1:7" x14ac:dyDescent="0.2">
      <c r="A339" s="9">
        <v>45772</v>
      </c>
      <c r="B339" s="1">
        <v>3.6581110553509402</v>
      </c>
      <c r="C339" s="1">
        <v>4.49076973845116</v>
      </c>
      <c r="D339" s="1">
        <v>5.3190260300955803</v>
      </c>
      <c r="E339" s="13">
        <f t="shared" si="15"/>
        <v>166.09149747446401</v>
      </c>
      <c r="F339" s="13">
        <f t="shared" si="16"/>
        <v>-0.72733554120497956</v>
      </c>
      <c r="G339" s="13">
        <f t="shared" si="17"/>
        <v>-0.71886132580303297</v>
      </c>
    </row>
    <row r="340" spans="1:7" x14ac:dyDescent="0.2">
      <c r="A340" s="9">
        <v>45775</v>
      </c>
      <c r="B340" s="1">
        <v>3.6549551329591901</v>
      </c>
      <c r="C340" s="1">
        <v>4.50260819788436</v>
      </c>
      <c r="D340" s="1">
        <v>5.3586514403804504</v>
      </c>
      <c r="E340" s="13">
        <f t="shared" si="15"/>
        <v>170.36963074212602</v>
      </c>
      <c r="F340" s="13">
        <f t="shared" si="16"/>
        <v>4.2781332676620138</v>
      </c>
      <c r="G340" s="13">
        <f t="shared" si="17"/>
        <v>1.1838459433199944</v>
      </c>
    </row>
    <row r="341" spans="1:7" x14ac:dyDescent="0.2">
      <c r="A341" s="9">
        <v>45776</v>
      </c>
      <c r="B341" s="1">
        <v>3.63223099480135</v>
      </c>
      <c r="C341" s="1">
        <v>4.48020603555974</v>
      </c>
      <c r="D341" s="1">
        <v>5.3480137450656198</v>
      </c>
      <c r="E341" s="13">
        <f t="shared" si="15"/>
        <v>171.57827502642698</v>
      </c>
      <c r="F341" s="13">
        <f t="shared" si="16"/>
        <v>1.2086442843009593</v>
      </c>
      <c r="G341" s="13">
        <f t="shared" si="17"/>
        <v>-2.2402162324620001</v>
      </c>
    </row>
    <row r="342" spans="1:7" x14ac:dyDescent="0.2">
      <c r="A342" s="9">
        <v>45777</v>
      </c>
      <c r="B342" s="1">
        <v>3.6010137761316998</v>
      </c>
      <c r="C342" s="1">
        <v>4.4529171649515797</v>
      </c>
      <c r="D342" s="1">
        <v>5.3230760885397697</v>
      </c>
      <c r="E342" s="13">
        <f t="shared" si="15"/>
        <v>172.20623124080697</v>
      </c>
      <c r="F342" s="13">
        <f t="shared" si="16"/>
        <v>0.62795621437999216</v>
      </c>
      <c r="G342" s="13">
        <f t="shared" si="17"/>
        <v>-2.7288870608160209</v>
      </c>
    </row>
    <row r="343" spans="1:7" x14ac:dyDescent="0.2">
      <c r="A343" s="9">
        <v>45778</v>
      </c>
      <c r="B343" s="1">
        <v>3.58811272459163</v>
      </c>
      <c r="C343" s="1">
        <v>4.4548547061499901</v>
      </c>
      <c r="D343" s="1">
        <v>5.3440816670549296</v>
      </c>
      <c r="E343" s="13">
        <f t="shared" si="15"/>
        <v>175.59689424632995</v>
      </c>
      <c r="F343" s="13">
        <f t="shared" si="16"/>
        <v>3.3906630055229812</v>
      </c>
      <c r="G343" s="13">
        <f t="shared" si="17"/>
        <v>0.19375411984103863</v>
      </c>
    </row>
    <row r="344" spans="1:7" x14ac:dyDescent="0.2">
      <c r="A344" s="9">
        <v>45779</v>
      </c>
      <c r="B344" s="1">
        <v>3.6240380819309301</v>
      </c>
      <c r="C344" s="1">
        <v>4.4885520425229002</v>
      </c>
      <c r="D344" s="1">
        <v>5.4121555236182601</v>
      </c>
      <c r="E344" s="13">
        <f t="shared" si="15"/>
        <v>178.81174416873301</v>
      </c>
      <c r="F344" s="13">
        <f t="shared" si="16"/>
        <v>3.2148499224030616</v>
      </c>
      <c r="G344" s="13">
        <f t="shared" si="17"/>
        <v>3.3697336372910058</v>
      </c>
    </row>
    <row r="345" spans="1:7" x14ac:dyDescent="0.2">
      <c r="A345" s="9">
        <v>45783</v>
      </c>
      <c r="B345" s="1">
        <v>3.6164961724131599</v>
      </c>
      <c r="C345" s="1">
        <v>4.5213936332828899</v>
      </c>
      <c r="D345" s="1">
        <v>5.4374038903359203</v>
      </c>
      <c r="E345" s="13">
        <f t="shared" si="15"/>
        <v>182.09077179227603</v>
      </c>
      <c r="F345" s="13">
        <f t="shared" si="16"/>
        <v>3.2790276235430156</v>
      </c>
      <c r="G345" s="13">
        <f t="shared" si="17"/>
        <v>3.2841590759989714</v>
      </c>
    </row>
    <row r="346" spans="1:7" x14ac:dyDescent="0.2">
      <c r="A346" s="9">
        <v>45784</v>
      </c>
      <c r="B346" s="1">
        <v>3.5925362130432998</v>
      </c>
      <c r="C346" s="1">
        <v>4.4597314166554698</v>
      </c>
      <c r="D346" s="1">
        <v>5.3714026408380997</v>
      </c>
      <c r="E346" s="13">
        <f t="shared" si="15"/>
        <v>177.88664277947998</v>
      </c>
      <c r="F346" s="13">
        <f t="shared" si="16"/>
        <v>-4.2041290127960451</v>
      </c>
      <c r="G346" s="13">
        <f t="shared" si="17"/>
        <v>-6.1662216627420108</v>
      </c>
    </row>
    <row r="347" spans="1:7" x14ac:dyDescent="0.2">
      <c r="A347" s="9">
        <v>45785</v>
      </c>
      <c r="B347" s="1">
        <v>3.6920769317631601</v>
      </c>
      <c r="C347" s="1">
        <v>4.5228327756755098</v>
      </c>
      <c r="D347" s="1">
        <v>5.40467252715949</v>
      </c>
      <c r="E347" s="13">
        <f t="shared" si="15"/>
        <v>171.25955953963299</v>
      </c>
      <c r="F347" s="13">
        <f t="shared" si="16"/>
        <v>-6.6270832398469963</v>
      </c>
      <c r="G347" s="13">
        <f t="shared" si="17"/>
        <v>6.3101359020039993</v>
      </c>
    </row>
    <row r="348" spans="1:7" x14ac:dyDescent="0.2">
      <c r="A348" s="9">
        <v>45786</v>
      </c>
      <c r="B348" s="1">
        <v>3.6957348303300201</v>
      </c>
      <c r="C348" s="1">
        <v>4.5615241290098396</v>
      </c>
      <c r="D348" s="1">
        <v>5.4515768010504102</v>
      </c>
      <c r="E348" s="13">
        <f t="shared" si="15"/>
        <v>175.58419707203902</v>
      </c>
      <c r="F348" s="13">
        <f t="shared" si="16"/>
        <v>4.3246375324060295</v>
      </c>
      <c r="G348" s="13">
        <f t="shared" si="17"/>
        <v>3.8691353334329825</v>
      </c>
    </row>
    <row r="349" spans="1:7" x14ac:dyDescent="0.2">
      <c r="A349" s="9">
        <v>45789</v>
      </c>
      <c r="B349" s="1">
        <v>3.7946737440791098</v>
      </c>
      <c r="C349" s="1">
        <v>4.6355312346647901</v>
      </c>
      <c r="D349" s="1">
        <v>5.4904894033601304</v>
      </c>
      <c r="E349" s="13">
        <f t="shared" si="15"/>
        <v>169.58156592810207</v>
      </c>
      <c r="F349" s="13">
        <f t="shared" si="16"/>
        <v>-6.0026311439369522</v>
      </c>
      <c r="G349" s="13">
        <f t="shared" si="17"/>
        <v>7.40071056549505</v>
      </c>
    </row>
    <row r="350" spans="1:7" x14ac:dyDescent="0.2">
      <c r="A350" s="9">
        <v>45790</v>
      </c>
      <c r="B350" s="1">
        <v>3.7721153626347799</v>
      </c>
      <c r="C350" s="1">
        <v>4.6536160703263496</v>
      </c>
      <c r="D350" s="1">
        <v>5.5248516964637</v>
      </c>
      <c r="E350" s="13">
        <f t="shared" si="15"/>
        <v>175.273633382892</v>
      </c>
      <c r="F350" s="13">
        <f t="shared" si="16"/>
        <v>5.6920674547899353</v>
      </c>
      <c r="G350" s="13">
        <f t="shared" si="17"/>
        <v>1.8084835661559495</v>
      </c>
    </row>
    <row r="351" spans="1:7" x14ac:dyDescent="0.2">
      <c r="A351" s="9">
        <v>45791</v>
      </c>
      <c r="B351" s="1">
        <v>3.8266485042449898</v>
      </c>
      <c r="C351" s="1">
        <v>4.7162270506104003</v>
      </c>
      <c r="D351" s="1">
        <v>5.5837673092206899</v>
      </c>
      <c r="E351" s="13">
        <f t="shared" si="15"/>
        <v>175.71188049757001</v>
      </c>
      <c r="F351" s="13">
        <f t="shared" si="16"/>
        <v>0.43824711467800626</v>
      </c>
      <c r="G351" s="13">
        <f t="shared" si="17"/>
        <v>6.2610980284050655</v>
      </c>
    </row>
    <row r="352" spans="1:7" x14ac:dyDescent="0.2">
      <c r="A352" s="9">
        <v>45792</v>
      </c>
      <c r="B352" s="1">
        <v>3.7932852356650799</v>
      </c>
      <c r="C352" s="1">
        <v>4.6714921242453196</v>
      </c>
      <c r="D352" s="1">
        <v>5.5239550366719401</v>
      </c>
      <c r="E352" s="13">
        <f t="shared" si="15"/>
        <v>173.06698010068601</v>
      </c>
      <c r="F352" s="13">
        <f t="shared" si="16"/>
        <v>-2.6449003968839975</v>
      </c>
      <c r="G352" s="13">
        <f t="shared" si="17"/>
        <v>-4.4734926365080696</v>
      </c>
    </row>
    <row r="353" spans="1:7" x14ac:dyDescent="0.2">
      <c r="A353" s="9">
        <v>45793</v>
      </c>
      <c r="B353" s="1">
        <v>3.8004624392502699</v>
      </c>
      <c r="C353" s="1">
        <v>4.64713609325681</v>
      </c>
      <c r="D353" s="1">
        <v>5.4912129599243098</v>
      </c>
      <c r="E353" s="13">
        <f t="shared" si="15"/>
        <v>169.07505206740399</v>
      </c>
      <c r="F353" s="13">
        <f t="shared" si="16"/>
        <v>-3.9919280332820222</v>
      </c>
      <c r="G353" s="13">
        <f t="shared" si="17"/>
        <v>-2.435603098850958</v>
      </c>
    </row>
    <row r="354" spans="1:7" x14ac:dyDescent="0.2">
      <c r="A354" s="9">
        <v>45796</v>
      </c>
      <c r="B354" s="1">
        <v>3.8043721502046401</v>
      </c>
      <c r="C354" s="1">
        <v>4.6649500440768099</v>
      </c>
      <c r="D354" s="1">
        <v>5.5171151891482202</v>
      </c>
      <c r="E354" s="13">
        <f t="shared" si="15"/>
        <v>171.27430389435801</v>
      </c>
      <c r="F354" s="13">
        <f t="shared" si="16"/>
        <v>2.1992518269540255</v>
      </c>
      <c r="G354" s="13">
        <f t="shared" si="17"/>
        <v>1.7813950819999924</v>
      </c>
    </row>
    <row r="355" spans="1:7" x14ac:dyDescent="0.2">
      <c r="A355" s="9">
        <v>45797</v>
      </c>
      <c r="B355" s="1">
        <v>3.8440864574867302</v>
      </c>
      <c r="C355" s="1">
        <v>4.7064644852692004</v>
      </c>
      <c r="D355" s="1">
        <v>5.5516893921089503</v>
      </c>
      <c r="E355" s="13">
        <f t="shared" si="15"/>
        <v>170.76029346222202</v>
      </c>
      <c r="F355" s="13">
        <f t="shared" si="16"/>
        <v>-0.51401043213598996</v>
      </c>
      <c r="G355" s="13">
        <f t="shared" si="17"/>
        <v>4.151444119239045</v>
      </c>
    </row>
    <row r="356" spans="1:7" x14ac:dyDescent="0.2">
      <c r="A356" s="9">
        <v>45798</v>
      </c>
      <c r="B356" s="1">
        <v>3.8843098010069901</v>
      </c>
      <c r="C356" s="1">
        <v>4.7623413377810504</v>
      </c>
      <c r="D356" s="1">
        <v>5.6194158678003303</v>
      </c>
      <c r="E356" s="13">
        <f t="shared" si="15"/>
        <v>173.51060667933402</v>
      </c>
      <c r="F356" s="13">
        <f t="shared" si="16"/>
        <v>2.7503132171119944</v>
      </c>
      <c r="G356" s="13">
        <f t="shared" si="17"/>
        <v>5.5876852511850039</v>
      </c>
    </row>
    <row r="357" spans="1:7" x14ac:dyDescent="0.2">
      <c r="A357" s="9">
        <v>45799</v>
      </c>
      <c r="B357" s="1">
        <v>3.84629223072249</v>
      </c>
      <c r="C357" s="1">
        <v>4.7743529726774696</v>
      </c>
      <c r="D357" s="1">
        <v>5.6806885253271098</v>
      </c>
      <c r="E357" s="13">
        <f t="shared" si="15"/>
        <v>183.43962946046196</v>
      </c>
      <c r="F357" s="13">
        <f t="shared" si="16"/>
        <v>9.9290227811279408</v>
      </c>
      <c r="G357" s="13">
        <f t="shared" si="17"/>
        <v>1.201163489641921</v>
      </c>
    </row>
    <row r="358" spans="1:7" x14ac:dyDescent="0.2">
      <c r="A358" s="9">
        <v>45800</v>
      </c>
      <c r="B358" s="1">
        <v>3.8100000546155499</v>
      </c>
      <c r="C358" s="1">
        <v>4.7174073743931597</v>
      </c>
      <c r="D358" s="1">
        <v>5.62321820482288</v>
      </c>
      <c r="E358" s="13">
        <f t="shared" si="15"/>
        <v>181.32181502073303</v>
      </c>
      <c r="F358" s="13">
        <f t="shared" si="16"/>
        <v>-2.1178144397289316</v>
      </c>
      <c r="G358" s="13">
        <f t="shared" si="17"/>
        <v>-5.6945598284309895</v>
      </c>
    </row>
    <row r="359" spans="1:7" x14ac:dyDescent="0.2">
      <c r="A359" s="9">
        <v>45804</v>
      </c>
      <c r="B359" s="1">
        <v>3.8407871121960002</v>
      </c>
      <c r="C359" s="1">
        <v>4.6918855042437499</v>
      </c>
      <c r="D359" s="1">
        <v>5.5626457394686701</v>
      </c>
      <c r="E359" s="13">
        <f t="shared" si="15"/>
        <v>172.18586272726699</v>
      </c>
      <c r="F359" s="13">
        <f t="shared" si="16"/>
        <v>-9.1359522934660333</v>
      </c>
      <c r="G359" s="13">
        <f t="shared" si="17"/>
        <v>-2.5521870149409764</v>
      </c>
    </row>
    <row r="360" spans="1:7" x14ac:dyDescent="0.2">
      <c r="A360" s="9">
        <v>45805</v>
      </c>
      <c r="B360" s="1">
        <v>3.8739582130796801</v>
      </c>
      <c r="C360" s="1">
        <v>4.7275393111573596</v>
      </c>
      <c r="D360" s="1">
        <v>5.58185366906842</v>
      </c>
      <c r="E360" s="13">
        <f t="shared" si="15"/>
        <v>170.78954559887399</v>
      </c>
      <c r="F360" s="13">
        <f t="shared" si="16"/>
        <v>-1.396317128393008</v>
      </c>
      <c r="G360" s="13">
        <f t="shared" si="17"/>
        <v>3.5653806913609642</v>
      </c>
    </row>
    <row r="361" spans="1:7" x14ac:dyDescent="0.2">
      <c r="A361" s="9">
        <v>45806</v>
      </c>
      <c r="B361" s="1">
        <v>3.8182518185417602</v>
      </c>
      <c r="C361" s="1">
        <v>4.6660752261985499</v>
      </c>
      <c r="D361" s="1">
        <v>5.5136109246823901</v>
      </c>
      <c r="E361" s="13">
        <f t="shared" si="15"/>
        <v>169.535910614063</v>
      </c>
      <c r="F361" s="13">
        <f t="shared" si="16"/>
        <v>-1.2536349848109865</v>
      </c>
      <c r="G361" s="13">
        <f t="shared" si="17"/>
        <v>-6.1464084958809728</v>
      </c>
    </row>
    <row r="362" spans="1:7" x14ac:dyDescent="0.2">
      <c r="A362" s="9">
        <v>45807</v>
      </c>
      <c r="B362" s="1">
        <v>3.8540618384896002</v>
      </c>
      <c r="C362" s="1">
        <v>4.6711802180832596</v>
      </c>
      <c r="D362" s="1">
        <v>5.4928601202962204</v>
      </c>
      <c r="E362" s="13">
        <f t="shared" si="15"/>
        <v>163.87982818066203</v>
      </c>
      <c r="F362" s="13">
        <f t="shared" si="16"/>
        <v>-5.6560824334009681</v>
      </c>
      <c r="G362" s="13">
        <f t="shared" si="17"/>
        <v>0.51049918847096976</v>
      </c>
    </row>
    <row r="363" spans="1:7" x14ac:dyDescent="0.2">
      <c r="A363" s="9">
        <v>45810</v>
      </c>
      <c r="B363" s="1">
        <v>3.8246652340756002</v>
      </c>
      <c r="C363" s="1">
        <v>4.6632646402241402</v>
      </c>
      <c r="D363" s="1">
        <v>5.5017652328170099</v>
      </c>
      <c r="E363" s="13">
        <f t="shared" si="15"/>
        <v>167.70999987414098</v>
      </c>
      <c r="F363" s="13">
        <f t="shared" si="16"/>
        <v>3.8301716934789454</v>
      </c>
      <c r="G363" s="13">
        <f t="shared" si="17"/>
        <v>-0.79155778591193382</v>
      </c>
    </row>
    <row r="364" spans="1:7" x14ac:dyDescent="0.2">
      <c r="A364" s="9">
        <v>45811</v>
      </c>
      <c r="B364" s="1">
        <v>3.8197444928588302</v>
      </c>
      <c r="C364" s="1">
        <v>4.6273717790097004</v>
      </c>
      <c r="D364" s="1">
        <v>5.4504892532571398</v>
      </c>
      <c r="E364" s="13">
        <f t="shared" si="15"/>
        <v>163.07447603983096</v>
      </c>
      <c r="F364" s="13">
        <f t="shared" si="16"/>
        <v>-4.6355238343100211</v>
      </c>
      <c r="G364" s="13">
        <f t="shared" si="17"/>
        <v>-3.5892861214439797</v>
      </c>
    </row>
    <row r="365" spans="1:7" x14ac:dyDescent="0.2">
      <c r="A365" s="9">
        <v>45812</v>
      </c>
      <c r="B365" s="1">
        <v>3.8383009567884399</v>
      </c>
      <c r="C365" s="1">
        <v>4.6287893406520997</v>
      </c>
      <c r="D365" s="1">
        <v>5.4363588405740604</v>
      </c>
      <c r="E365" s="13">
        <f t="shared" si="15"/>
        <v>159.80578837856206</v>
      </c>
      <c r="F365" s="13">
        <f t="shared" si="16"/>
        <v>-3.2686876612688991</v>
      </c>
      <c r="G365" s="13">
        <f t="shared" si="17"/>
        <v>0.14175616423992565</v>
      </c>
    </row>
    <row r="366" spans="1:7" x14ac:dyDescent="0.2">
      <c r="A366" s="9">
        <v>45813</v>
      </c>
      <c r="B366" s="1">
        <v>3.8402851820852399</v>
      </c>
      <c r="C366" s="1">
        <v>4.6309968573414002</v>
      </c>
      <c r="D366" s="1">
        <v>5.4312299884759501</v>
      </c>
      <c r="E366" s="13">
        <f t="shared" si="15"/>
        <v>159.09448063907101</v>
      </c>
      <c r="F366" s="13">
        <f t="shared" si="16"/>
        <v>-0.71130773949104764</v>
      </c>
      <c r="G366" s="13">
        <f t="shared" si="17"/>
        <v>0.2207516689300526</v>
      </c>
    </row>
    <row r="367" spans="1:7" x14ac:dyDescent="0.2">
      <c r="A367" s="9">
        <v>45814</v>
      </c>
      <c r="B367" s="1">
        <v>3.8267858538081598</v>
      </c>
      <c r="C367" s="1">
        <v>4.6469656303198903</v>
      </c>
      <c r="D367" s="1">
        <v>5.4253966503189002</v>
      </c>
      <c r="E367" s="13">
        <f t="shared" si="15"/>
        <v>159.86107965107402</v>
      </c>
      <c r="F367" s="13">
        <f t="shared" si="16"/>
        <v>0.76659901200301306</v>
      </c>
      <c r="G367" s="13">
        <f t="shared" si="17"/>
        <v>1.5968772978490087</v>
      </c>
    </row>
    <row r="368" spans="1:7" x14ac:dyDescent="0.2">
      <c r="A368" s="9">
        <v>45817</v>
      </c>
      <c r="B368" s="1">
        <v>3.8321368050553799</v>
      </c>
      <c r="C368" s="1">
        <v>4.6483108738878602</v>
      </c>
      <c r="D368" s="1">
        <v>5.42806798665986</v>
      </c>
      <c r="E368" s="13">
        <f t="shared" si="15"/>
        <v>159.593118160448</v>
      </c>
      <c r="F368" s="13">
        <f t="shared" si="16"/>
        <v>-0.26796149062602126</v>
      </c>
      <c r="G368" s="13">
        <f t="shared" si="17"/>
        <v>0.13452435679699448</v>
      </c>
    </row>
    <row r="369" spans="1:7" x14ac:dyDescent="0.2">
      <c r="A369" s="9">
        <v>45818</v>
      </c>
      <c r="B369" s="1">
        <v>3.7476024383386499</v>
      </c>
      <c r="C369" s="1">
        <v>4.5590553616007297</v>
      </c>
      <c r="D369" s="1">
        <v>5.3588609409961796</v>
      </c>
      <c r="E369" s="13">
        <f t="shared" si="15"/>
        <v>161.12585026575297</v>
      </c>
      <c r="F369" s="13">
        <f t="shared" si="16"/>
        <v>1.5327321053049729</v>
      </c>
      <c r="G369" s="13">
        <f t="shared" si="17"/>
        <v>-8.9255512287130578</v>
      </c>
    </row>
    <row r="370" spans="1:7" x14ac:dyDescent="0.2">
      <c r="A370" s="9">
        <v>45819</v>
      </c>
      <c r="B370" s="1">
        <v>3.74496154534478</v>
      </c>
      <c r="C370" s="1">
        <v>4.5673898767118297</v>
      </c>
      <c r="D370" s="1">
        <v>5.3874685705736702</v>
      </c>
      <c r="E370" s="13">
        <f t="shared" si="15"/>
        <v>164.25070252288901</v>
      </c>
      <c r="F370" s="13">
        <f t="shared" si="16"/>
        <v>3.1248522571360411</v>
      </c>
      <c r="G370" s="13">
        <f t="shared" si="17"/>
        <v>0.83345151111000604</v>
      </c>
    </row>
    <row r="371" spans="1:7" x14ac:dyDescent="0.2">
      <c r="A371" s="9">
        <v>45820</v>
      </c>
      <c r="B371" s="1">
        <v>3.7001180879618101</v>
      </c>
      <c r="C371" s="1">
        <v>4.4966297707079201</v>
      </c>
      <c r="D371" s="1">
        <v>5.2967254690631096</v>
      </c>
      <c r="E371" s="13">
        <f t="shared" si="15"/>
        <v>159.66073811012996</v>
      </c>
      <c r="F371" s="13">
        <f t="shared" si="16"/>
        <v>-4.5899644127590591</v>
      </c>
      <c r="G371" s="13">
        <f t="shared" si="17"/>
        <v>-7.0760106003909584</v>
      </c>
    </row>
    <row r="372" spans="1:7" x14ac:dyDescent="0.2">
      <c r="A372" s="9">
        <v>45821</v>
      </c>
      <c r="B372" s="1">
        <v>3.7661315031035199</v>
      </c>
      <c r="C372" s="1">
        <v>4.5595942803307601</v>
      </c>
      <c r="D372" s="1">
        <v>5.3472718470567902</v>
      </c>
      <c r="E372" s="13">
        <f t="shared" si="15"/>
        <v>158.11403439532702</v>
      </c>
      <c r="F372" s="13">
        <f t="shared" si="16"/>
        <v>-1.5467037148029306</v>
      </c>
      <c r="G372" s="13">
        <f t="shared" si="17"/>
        <v>6.2964509622839948</v>
      </c>
    </row>
    <row r="373" spans="1:7" x14ac:dyDescent="0.2">
      <c r="A373" s="9">
        <v>45824</v>
      </c>
      <c r="B373" s="1">
        <v>3.7318688333875598</v>
      </c>
      <c r="C373" s="1">
        <v>4.5417555802958898</v>
      </c>
      <c r="D373" s="1">
        <v>5.3443020389496301</v>
      </c>
      <c r="E373" s="13">
        <f t="shared" si="15"/>
        <v>161.24332055620704</v>
      </c>
      <c r="F373" s="13">
        <f t="shared" si="16"/>
        <v>3.1292861608800138</v>
      </c>
      <c r="G373" s="13">
        <f t="shared" si="17"/>
        <v>-1.7838700034870314</v>
      </c>
    </row>
    <row r="374" spans="1:7" x14ac:dyDescent="0.2">
      <c r="A374" s="9">
        <v>45825</v>
      </c>
      <c r="B374" s="1">
        <v>3.7463285158022299</v>
      </c>
      <c r="C374" s="1">
        <v>4.5496791496966296</v>
      </c>
      <c r="D374" s="1">
        <v>5.3662551119859199</v>
      </c>
      <c r="E374" s="13">
        <f t="shared" si="15"/>
        <v>161.992659618369</v>
      </c>
      <c r="F374" s="13">
        <f t="shared" si="16"/>
        <v>0.74933906216196533</v>
      </c>
      <c r="G374" s="13">
        <f t="shared" si="17"/>
        <v>0.79235694007397939</v>
      </c>
    </row>
    <row r="375" spans="1:7" x14ac:dyDescent="0.2">
      <c r="A375" s="9">
        <v>45826</v>
      </c>
      <c r="B375" s="1">
        <v>3.7264471653431901</v>
      </c>
      <c r="C375" s="1">
        <v>4.5102986931180196</v>
      </c>
      <c r="D375" s="1">
        <v>5.3304146151444698</v>
      </c>
      <c r="E375" s="13">
        <f t="shared" si="15"/>
        <v>160.39674498012798</v>
      </c>
      <c r="F375" s="13">
        <f t="shared" si="16"/>
        <v>-1.5959146382410268</v>
      </c>
      <c r="G375" s="13">
        <f t="shared" si="17"/>
        <v>-3.9380456578610001</v>
      </c>
    </row>
    <row r="376" spans="1:7" x14ac:dyDescent="0.2">
      <c r="A376" s="9">
        <v>45827</v>
      </c>
      <c r="B376" s="1">
        <v>3.74068478892266</v>
      </c>
      <c r="C376" s="1">
        <v>4.5421700880993097</v>
      </c>
      <c r="D376" s="1">
        <v>5.36973064326373</v>
      </c>
      <c r="E376" s="13">
        <f t="shared" si="15"/>
        <v>162.90458543410699</v>
      </c>
      <c r="F376" s="13">
        <f t="shared" si="16"/>
        <v>2.5078404539790142</v>
      </c>
      <c r="G376" s="13">
        <f t="shared" si="17"/>
        <v>3.1871394981290102</v>
      </c>
    </row>
    <row r="377" spans="1:7" x14ac:dyDescent="0.2">
      <c r="A377" s="9">
        <v>45828</v>
      </c>
      <c r="B377" s="1">
        <v>3.7475250655486598</v>
      </c>
      <c r="C377" s="1">
        <v>4.5475224351808903</v>
      </c>
      <c r="D377" s="1">
        <v>5.3610821609978601</v>
      </c>
      <c r="E377" s="13">
        <f t="shared" si="15"/>
        <v>161.35570954492002</v>
      </c>
      <c r="F377" s="13">
        <f t="shared" si="16"/>
        <v>-1.5488758891869736</v>
      </c>
      <c r="G377" s="13">
        <f t="shared" si="17"/>
        <v>0.53523470815806107</v>
      </c>
    </row>
    <row r="378" spans="1:7" x14ac:dyDescent="0.2">
      <c r="A378" s="9">
        <v>45831</v>
      </c>
      <c r="B378" s="1">
        <v>3.7253298251134899</v>
      </c>
      <c r="C378" s="1">
        <v>4.5014603867768797</v>
      </c>
      <c r="D378" s="1">
        <v>5.3048075511230204</v>
      </c>
      <c r="E378" s="13">
        <f t="shared" si="15"/>
        <v>157.94777260095304</v>
      </c>
      <c r="F378" s="13">
        <f t="shared" si="16"/>
        <v>-3.4079369439669733</v>
      </c>
      <c r="G378" s="13">
        <f t="shared" si="17"/>
        <v>-4.6062048404010625</v>
      </c>
    </row>
    <row r="379" spans="1:7" x14ac:dyDescent="0.2">
      <c r="A379" s="9">
        <v>45832</v>
      </c>
      <c r="B379" s="1">
        <v>3.69283702365933</v>
      </c>
      <c r="C379" s="1">
        <v>4.4648491991299801</v>
      </c>
      <c r="D379" s="1">
        <v>5.3065465810020704</v>
      </c>
      <c r="E379" s="13">
        <f t="shared" si="15"/>
        <v>161.37095573427405</v>
      </c>
      <c r="F379" s="13">
        <f t="shared" si="16"/>
        <v>3.4231831333210039</v>
      </c>
      <c r="G379" s="13">
        <f t="shared" si="17"/>
        <v>-3.6611187646899523</v>
      </c>
    </row>
    <row r="380" spans="1:7" x14ac:dyDescent="0.2">
      <c r="A380" s="9">
        <v>45833</v>
      </c>
      <c r="B380" s="1">
        <v>3.6976654838876599</v>
      </c>
      <c r="C380" s="1">
        <v>4.4957102176873001</v>
      </c>
      <c r="D380" s="1">
        <v>5.3592625120732498</v>
      </c>
      <c r="E380" s="13">
        <f t="shared" si="15"/>
        <v>166.159702818559</v>
      </c>
      <c r="F380" s="13">
        <f t="shared" si="16"/>
        <v>4.7887470842849496</v>
      </c>
      <c r="G380" s="13">
        <f t="shared" si="17"/>
        <v>3.086101855731993</v>
      </c>
    </row>
    <row r="381" spans="1:7" x14ac:dyDescent="0.2">
      <c r="A381" s="9">
        <v>45834</v>
      </c>
      <c r="B381" s="1">
        <v>3.6662754759939</v>
      </c>
      <c r="C381" s="1">
        <v>4.4864342360437997</v>
      </c>
      <c r="D381" s="1">
        <v>5.3855630763134297</v>
      </c>
      <c r="E381" s="13">
        <f t="shared" si="15"/>
        <v>171.92876003195298</v>
      </c>
      <c r="F381" s="13">
        <f t="shared" si="16"/>
        <v>5.7690572133939781</v>
      </c>
      <c r="G381" s="13">
        <f t="shared" si="17"/>
        <v>-0.92759816435004083</v>
      </c>
    </row>
    <row r="382" spans="1:7" x14ac:dyDescent="0.2">
      <c r="A382" s="9">
        <v>45835</v>
      </c>
      <c r="B382" s="1">
        <v>3.6866260459529001</v>
      </c>
      <c r="C382" s="1">
        <v>4.5228960310000996</v>
      </c>
      <c r="D382" s="1">
        <v>5.4066666821118501</v>
      </c>
      <c r="E382" s="13">
        <f t="shared" si="15"/>
        <v>172.00406361589501</v>
      </c>
      <c r="F382" s="13">
        <f t="shared" si="16"/>
        <v>7.5303583942030627E-2</v>
      </c>
      <c r="G382" s="13">
        <f t="shared" si="17"/>
        <v>3.6461794956299975</v>
      </c>
    </row>
    <row r="383" spans="1:7" x14ac:dyDescent="0.2">
      <c r="A383" s="9">
        <v>45838</v>
      </c>
      <c r="B383" s="1">
        <v>3.6694158434356301</v>
      </c>
      <c r="C383" s="1">
        <v>4.5139212823803101</v>
      </c>
      <c r="D383" s="1">
        <v>5.4207258969316197</v>
      </c>
      <c r="E383" s="13">
        <f t="shared" si="15"/>
        <v>175.13100534959895</v>
      </c>
      <c r="F383" s="13">
        <f t="shared" si="16"/>
        <v>3.1269417337039442</v>
      </c>
      <c r="G383" s="13">
        <f t="shared" si="17"/>
        <v>-0.89747486197895299</v>
      </c>
    </row>
    <row r="384" spans="1:7" x14ac:dyDescent="0.2">
      <c r="A384" s="9">
        <v>45839</v>
      </c>
      <c r="B384" s="1">
        <v>3.6574742494507402</v>
      </c>
      <c r="C384" s="1">
        <v>4.4578712672619103</v>
      </c>
      <c r="D384" s="1">
        <v>5.3549009519066297</v>
      </c>
      <c r="E384" s="13">
        <f t="shared" si="15"/>
        <v>169.74267024558895</v>
      </c>
      <c r="F384" s="13">
        <f t="shared" si="16"/>
        <v>-5.3883351040099967</v>
      </c>
      <c r="G384" s="13">
        <f t="shared" si="17"/>
        <v>-5.6050015118399799</v>
      </c>
    </row>
    <row r="385" spans="1:7" x14ac:dyDescent="0.2">
      <c r="A385" s="9">
        <v>45840</v>
      </c>
      <c r="B385" s="1">
        <v>3.7079697546007901</v>
      </c>
      <c r="C385" s="1">
        <v>4.6122006565583504</v>
      </c>
      <c r="D385" s="1">
        <v>5.54063475692789</v>
      </c>
      <c r="E385" s="13">
        <f t="shared" si="15"/>
        <v>183.26650023270997</v>
      </c>
      <c r="F385" s="13">
        <f t="shared" si="16"/>
        <v>13.523829987121019</v>
      </c>
      <c r="G385" s="13">
        <f t="shared" si="17"/>
        <v>15.432938929644013</v>
      </c>
    </row>
    <row r="386" spans="1:7" x14ac:dyDescent="0.2">
      <c r="A386" s="9">
        <v>45841</v>
      </c>
      <c r="B386" s="1">
        <v>3.6847757576128002</v>
      </c>
      <c r="C386" s="1">
        <v>4.5680788542303397</v>
      </c>
      <c r="D386" s="1">
        <v>5.4912162673459903</v>
      </c>
      <c r="E386" s="13">
        <f t="shared" si="15"/>
        <v>180.64405097331903</v>
      </c>
      <c r="F386" s="13">
        <f t="shared" si="16"/>
        <v>-2.6224492593909474</v>
      </c>
      <c r="G386" s="13">
        <f t="shared" si="17"/>
        <v>-4.4121802328010773</v>
      </c>
    </row>
    <row r="387" spans="1:7" x14ac:dyDescent="0.2">
      <c r="A387" s="9">
        <v>45842</v>
      </c>
      <c r="B387" s="1">
        <v>3.69789718971963</v>
      </c>
      <c r="C387" s="1">
        <v>4.5742405624737899</v>
      </c>
      <c r="D387" s="1">
        <v>5.4860815058899499</v>
      </c>
      <c r="E387" s="13">
        <f t="shared" si="15"/>
        <v>178.81843161703199</v>
      </c>
      <c r="F387" s="13">
        <f t="shared" si="16"/>
        <v>-1.8256193562870351</v>
      </c>
      <c r="G387" s="13">
        <f t="shared" si="17"/>
        <v>0.61617082434501924</v>
      </c>
    </row>
    <row r="388" spans="1:7" x14ac:dyDescent="0.2">
      <c r="A388" s="9">
        <v>45845</v>
      </c>
      <c r="B388" s="1">
        <v>3.7086271963465101</v>
      </c>
      <c r="C388" s="1">
        <v>4.6005792111086299</v>
      </c>
      <c r="D388" s="1">
        <v>5.5352278636002898</v>
      </c>
      <c r="E388" s="13">
        <f t="shared" si="15"/>
        <v>182.66006672537799</v>
      </c>
      <c r="F388" s="13">
        <f t="shared" si="16"/>
        <v>3.8416351083459972</v>
      </c>
      <c r="G388" s="13">
        <f t="shared" si="17"/>
        <v>2.6338648634840034</v>
      </c>
    </row>
    <row r="389" spans="1:7" x14ac:dyDescent="0.2">
      <c r="A389" s="9">
        <v>45846</v>
      </c>
      <c r="B389" s="1">
        <v>3.72446092012071</v>
      </c>
      <c r="C389" s="1">
        <v>4.6553026734387002</v>
      </c>
      <c r="D389" s="1">
        <v>5.6159181802036997</v>
      </c>
      <c r="E389" s="13">
        <f t="shared" si="15"/>
        <v>189.14572600829896</v>
      </c>
      <c r="F389" s="13">
        <f t="shared" si="16"/>
        <v>6.4856592829209774</v>
      </c>
      <c r="G389" s="13">
        <f t="shared" si="17"/>
        <v>5.4723462330070305</v>
      </c>
    </row>
    <row r="390" spans="1:7" x14ac:dyDescent="0.2">
      <c r="A390" s="9">
        <v>45847</v>
      </c>
      <c r="B390" s="1">
        <v>3.7200871464804699</v>
      </c>
      <c r="C390" s="1">
        <v>4.62917177856216</v>
      </c>
      <c r="D390" s="1">
        <v>5.5681885517627503</v>
      </c>
      <c r="E390" s="13">
        <f t="shared" si="15"/>
        <v>184.81014052822803</v>
      </c>
      <c r="F390" s="13">
        <f t="shared" si="16"/>
        <v>-4.3355854800709324</v>
      </c>
      <c r="G390" s="13">
        <f t="shared" si="17"/>
        <v>-2.6130894876540189</v>
      </c>
    </row>
    <row r="391" spans="1:7" x14ac:dyDescent="0.2">
      <c r="A391" s="9">
        <v>45848</v>
      </c>
      <c r="B391" s="1">
        <v>3.7146126724019499</v>
      </c>
      <c r="C391" s="1">
        <v>4.6239138977012804</v>
      </c>
      <c r="D391" s="1">
        <v>5.5622537758847201</v>
      </c>
      <c r="E391" s="13">
        <f t="shared" ref="E391:E454" si="18">(D391-B391)*100</f>
        <v>184.76411034827703</v>
      </c>
      <c r="F391" s="13">
        <f t="shared" si="16"/>
        <v>-4.6030179951003447E-2</v>
      </c>
      <c r="G391" s="13">
        <f t="shared" si="17"/>
        <v>-0.52578808608796379</v>
      </c>
    </row>
    <row r="392" spans="1:7" x14ac:dyDescent="0.2">
      <c r="A392" s="9">
        <v>45849</v>
      </c>
      <c r="B392" s="1">
        <v>3.7217889210764201</v>
      </c>
      <c r="C392" s="1">
        <v>4.65394287250425</v>
      </c>
      <c r="D392" s="1">
        <v>5.5895081272441898</v>
      </c>
      <c r="E392" s="13">
        <f t="shared" si="18"/>
        <v>186.77192061677695</v>
      </c>
      <c r="F392" s="13">
        <f t="shared" ref="F392:F455" si="19">E392-E391</f>
        <v>2.0078102684999237</v>
      </c>
      <c r="G392" s="13">
        <f t="shared" ref="G392:G455" si="20">(C392-C391)*100</f>
        <v>3.0028974802969621</v>
      </c>
    </row>
    <row r="393" spans="1:7" x14ac:dyDescent="0.2">
      <c r="A393" s="9">
        <v>45852</v>
      </c>
      <c r="B393" s="1">
        <v>3.67381630389723</v>
      </c>
      <c r="C393" s="1">
        <v>4.6351269634076697</v>
      </c>
      <c r="D393" s="1">
        <v>5.5929773079590204</v>
      </c>
      <c r="E393" s="13">
        <f t="shared" si="18"/>
        <v>191.91610040617903</v>
      </c>
      <c r="F393" s="13">
        <f t="shared" si="19"/>
        <v>5.1441797894020738</v>
      </c>
      <c r="G393" s="13">
        <f t="shared" si="20"/>
        <v>-1.8815909096580263</v>
      </c>
    </row>
    <row r="394" spans="1:7" x14ac:dyDescent="0.2">
      <c r="A394" s="9">
        <v>45853</v>
      </c>
      <c r="B394" s="1">
        <v>3.6982015625635798</v>
      </c>
      <c r="C394" s="1">
        <v>4.6676950978847298</v>
      </c>
      <c r="D394" s="1">
        <v>5.62696952985634</v>
      </c>
      <c r="E394" s="13">
        <f t="shared" si="18"/>
        <v>192.87679672927601</v>
      </c>
      <c r="F394" s="13">
        <f t="shared" si="19"/>
        <v>0.9606963230969825</v>
      </c>
      <c r="G394" s="13">
        <f t="shared" si="20"/>
        <v>3.2568134477060084</v>
      </c>
    </row>
    <row r="395" spans="1:7" x14ac:dyDescent="0.2">
      <c r="A395" s="9">
        <v>45854</v>
      </c>
      <c r="B395" s="1">
        <v>3.72744256476552</v>
      </c>
      <c r="C395" s="1">
        <v>4.6728441154334401</v>
      </c>
      <c r="D395" s="1">
        <v>5.6229187385775701</v>
      </c>
      <c r="E395" s="13">
        <f t="shared" si="18"/>
        <v>189.54761738120501</v>
      </c>
      <c r="F395" s="13">
        <f t="shared" si="19"/>
        <v>-3.3291793480709941</v>
      </c>
      <c r="G395" s="13">
        <f t="shared" si="20"/>
        <v>0.51490175487103329</v>
      </c>
    </row>
    <row r="396" spans="1:7" x14ac:dyDescent="0.2">
      <c r="A396" s="9">
        <v>45855</v>
      </c>
      <c r="B396" s="1">
        <v>3.7489427391676</v>
      </c>
      <c r="C396" s="1">
        <v>4.6794657439769196</v>
      </c>
      <c r="D396" s="1">
        <v>5.6309827131019299</v>
      </c>
      <c r="E396" s="13">
        <f t="shared" si="18"/>
        <v>188.20399739343299</v>
      </c>
      <c r="F396" s="13">
        <f t="shared" si="19"/>
        <v>-1.3436199877720298</v>
      </c>
      <c r="G396" s="13">
        <f t="shared" si="20"/>
        <v>0.66216285434794742</v>
      </c>
    </row>
    <row r="397" spans="1:7" x14ac:dyDescent="0.2">
      <c r="A397" s="9">
        <v>45856</v>
      </c>
      <c r="B397" s="1">
        <v>3.7658298951579998</v>
      </c>
      <c r="C397" s="1">
        <v>4.7166762988599897</v>
      </c>
      <c r="D397" s="1">
        <v>5.6784993483812798</v>
      </c>
      <c r="E397" s="13">
        <f t="shared" si="18"/>
        <v>191.26694532232798</v>
      </c>
      <c r="F397" s="13">
        <f t="shared" si="19"/>
        <v>3.0629479288949994</v>
      </c>
      <c r="G397" s="13">
        <f t="shared" si="20"/>
        <v>3.7210554883070124</v>
      </c>
    </row>
    <row r="398" spans="1:7" x14ac:dyDescent="0.2">
      <c r="A398" s="9">
        <v>45859</v>
      </c>
      <c r="B398" s="1">
        <v>3.7216190808491301</v>
      </c>
      <c r="C398" s="1">
        <v>4.6436174078965404</v>
      </c>
      <c r="D398" s="1">
        <v>5.5913849616475497</v>
      </c>
      <c r="E398" s="13">
        <f t="shared" si="18"/>
        <v>186.97658807984197</v>
      </c>
      <c r="F398" s="13">
        <f t="shared" si="19"/>
        <v>-4.2903572424860101</v>
      </c>
      <c r="G398" s="13">
        <f t="shared" si="20"/>
        <v>-7.3058890963449308</v>
      </c>
    </row>
    <row r="399" spans="1:7" x14ac:dyDescent="0.2">
      <c r="A399" s="9">
        <v>45860</v>
      </c>
      <c r="B399" s="1">
        <v>3.6887738698221901</v>
      </c>
      <c r="C399" s="1">
        <v>4.6050656578197096</v>
      </c>
      <c r="D399" s="1">
        <v>5.5579410863654903</v>
      </c>
      <c r="E399" s="13">
        <f t="shared" si="18"/>
        <v>186.91672165433002</v>
      </c>
      <c r="F399" s="13">
        <f t="shared" si="19"/>
        <v>-5.9866425511955867E-2</v>
      </c>
      <c r="G399" s="13">
        <f t="shared" si="20"/>
        <v>-3.8551750076830871</v>
      </c>
    </row>
    <row r="400" spans="1:7" x14ac:dyDescent="0.2">
      <c r="A400" s="9">
        <v>45861</v>
      </c>
      <c r="B400" s="1">
        <v>3.6977523405457999</v>
      </c>
      <c r="C400" s="1">
        <v>4.6497608368222103</v>
      </c>
      <c r="D400" s="1">
        <v>5.6240084969909301</v>
      </c>
      <c r="E400" s="13">
        <f t="shared" si="18"/>
        <v>192.625615644513</v>
      </c>
      <c r="F400" s="13">
        <f t="shared" si="19"/>
        <v>5.708893990182986</v>
      </c>
      <c r="G400" s="13">
        <f t="shared" si="20"/>
        <v>4.4695179002500751</v>
      </c>
    </row>
    <row r="401" spans="1:7" x14ac:dyDescent="0.2">
      <c r="A401" s="9">
        <v>45862</v>
      </c>
      <c r="B401" s="1">
        <v>3.7070094663410398</v>
      </c>
      <c r="C401" s="1">
        <v>4.6671457687040903</v>
      </c>
      <c r="D401" s="1">
        <v>5.6304427030639896</v>
      </c>
      <c r="E401" s="13">
        <f t="shared" si="18"/>
        <v>192.34332367229499</v>
      </c>
      <c r="F401" s="13">
        <f t="shared" si="19"/>
        <v>-0.28229197221801883</v>
      </c>
      <c r="G401" s="13">
        <f t="shared" si="20"/>
        <v>1.738493188187995</v>
      </c>
    </row>
    <row r="402" spans="1:7" x14ac:dyDescent="0.2">
      <c r="A402" s="9">
        <v>45863</v>
      </c>
      <c r="B402" s="1">
        <v>3.7353267388413101</v>
      </c>
      <c r="C402" s="1">
        <v>4.6768741942459897</v>
      </c>
      <c r="D402" s="1">
        <v>5.6095708745458097</v>
      </c>
      <c r="E402" s="13">
        <f t="shared" si="18"/>
        <v>187.42441357044996</v>
      </c>
      <c r="F402" s="13">
        <f t="shared" si="19"/>
        <v>-4.9189101018450287</v>
      </c>
      <c r="G402" s="13">
        <f t="shared" si="20"/>
        <v>0.97284255418994547</v>
      </c>
    </row>
    <row r="403" spans="1:7" x14ac:dyDescent="0.2">
      <c r="A403" s="9">
        <v>45866</v>
      </c>
      <c r="B403" s="1">
        <v>3.7540300870745802</v>
      </c>
      <c r="C403" s="1">
        <v>4.6815713880729399</v>
      </c>
      <c r="D403" s="1">
        <v>5.6023519727124196</v>
      </c>
      <c r="E403" s="13">
        <f t="shared" si="18"/>
        <v>184.83218856378394</v>
      </c>
      <c r="F403" s="13">
        <f t="shared" si="19"/>
        <v>-2.5922250066660126</v>
      </c>
      <c r="G403" s="13">
        <f t="shared" si="20"/>
        <v>0.46971938269502189</v>
      </c>
    </row>
    <row r="404" spans="1:7" x14ac:dyDescent="0.2">
      <c r="A404" s="9">
        <v>45867</v>
      </c>
      <c r="B404" s="1">
        <v>3.72897986578129</v>
      </c>
      <c r="C404" s="1">
        <v>4.6486034818072204</v>
      </c>
      <c r="D404" s="1">
        <v>5.5764333979619396</v>
      </c>
      <c r="E404" s="13">
        <f t="shared" si="18"/>
        <v>184.74535321806496</v>
      </c>
      <c r="F404" s="13">
        <f t="shared" si="19"/>
        <v>-8.6835345718981216E-2</v>
      </c>
      <c r="G404" s="13">
        <f t="shared" si="20"/>
        <v>-3.2967906265719549</v>
      </c>
    </row>
    <row r="405" spans="1:7" x14ac:dyDescent="0.2">
      <c r="A405" s="9">
        <v>45868</v>
      </c>
      <c r="B405" s="1">
        <v>3.7209367996004898</v>
      </c>
      <c r="C405" s="1">
        <v>4.6306707347568299</v>
      </c>
      <c r="D405" s="1">
        <v>5.5623036658756302</v>
      </c>
      <c r="E405" s="13">
        <f t="shared" si="18"/>
        <v>184.13668662751402</v>
      </c>
      <c r="F405" s="13">
        <f t="shared" si="19"/>
        <v>-0.60866659055093919</v>
      </c>
      <c r="G405" s="13">
        <f t="shared" si="20"/>
        <v>-1.7932747050390496</v>
      </c>
    </row>
    <row r="406" spans="1:7" x14ac:dyDescent="0.2">
      <c r="A406" s="9">
        <v>45869</v>
      </c>
      <c r="B406" s="1">
        <v>3.7029451016995201</v>
      </c>
      <c r="C406" s="1">
        <v>4.6022994259505703</v>
      </c>
      <c r="D406" s="1">
        <v>5.5234637344235704</v>
      </c>
      <c r="E406" s="13">
        <f t="shared" si="18"/>
        <v>182.05186327240503</v>
      </c>
      <c r="F406" s="13">
        <f t="shared" si="19"/>
        <v>-2.0848233551089947</v>
      </c>
      <c r="G406" s="13">
        <f t="shared" si="20"/>
        <v>-2.8371308806259599</v>
      </c>
    </row>
    <row r="407" spans="1:7" x14ac:dyDescent="0.2">
      <c r="A407" s="9">
        <v>45870</v>
      </c>
      <c r="B407" s="1">
        <v>3.6564036174749499</v>
      </c>
      <c r="C407" s="1">
        <v>4.5727422304459902</v>
      </c>
      <c r="D407" s="1">
        <v>5.5219883738620004</v>
      </c>
      <c r="E407" s="13">
        <f t="shared" si="18"/>
        <v>186.55847563870503</v>
      </c>
      <c r="F407" s="13">
        <f t="shared" si="19"/>
        <v>4.5066123663000042</v>
      </c>
      <c r="G407" s="13">
        <f t="shared" si="20"/>
        <v>-2.9557195504580136</v>
      </c>
    </row>
    <row r="408" spans="1:7" x14ac:dyDescent="0.2">
      <c r="A408" s="9">
        <v>45873</v>
      </c>
      <c r="B408" s="1">
        <v>3.6481223226575299</v>
      </c>
      <c r="C408" s="1">
        <v>4.54581979579382</v>
      </c>
      <c r="D408" s="1">
        <v>5.4861406911322499</v>
      </c>
      <c r="E408" s="13">
        <f t="shared" si="18"/>
        <v>183.801836847472</v>
      </c>
      <c r="F408" s="13">
        <f t="shared" si="19"/>
        <v>-2.7566387912330299</v>
      </c>
      <c r="G408" s="13">
        <f t="shared" si="20"/>
        <v>-2.6922434652170146</v>
      </c>
    </row>
    <row r="409" spans="1:7" x14ac:dyDescent="0.2">
      <c r="A409" s="9">
        <v>45874</v>
      </c>
      <c r="B409" s="1">
        <v>3.65370250467832</v>
      </c>
      <c r="C409" s="1">
        <v>4.53745538073058</v>
      </c>
      <c r="D409" s="1">
        <v>5.4849265144939299</v>
      </c>
      <c r="E409" s="13">
        <f t="shared" si="18"/>
        <v>183.12240098156099</v>
      </c>
      <c r="F409" s="13">
        <f t="shared" si="19"/>
        <v>-0.67943586591101734</v>
      </c>
      <c r="G409" s="13">
        <f t="shared" si="20"/>
        <v>-0.83644150632400383</v>
      </c>
    </row>
    <row r="410" spans="1:7" x14ac:dyDescent="0.2">
      <c r="A410" s="9">
        <v>45875</v>
      </c>
      <c r="B410" s="1">
        <v>3.6568373181118998</v>
      </c>
      <c r="C410" s="1">
        <v>4.5465508246679596</v>
      </c>
      <c r="D410" s="1">
        <v>5.5114043680281402</v>
      </c>
      <c r="E410" s="13">
        <f t="shared" si="18"/>
        <v>185.45670499162404</v>
      </c>
      <c r="F410" s="13">
        <f t="shared" si="19"/>
        <v>2.3343040100630503</v>
      </c>
      <c r="G410" s="13">
        <f t="shared" si="20"/>
        <v>0.90954439373795992</v>
      </c>
    </row>
    <row r="411" spans="1:7" x14ac:dyDescent="0.2">
      <c r="A411" s="9">
        <v>45876</v>
      </c>
      <c r="B411" s="1">
        <v>3.72122172815159</v>
      </c>
      <c r="C411" s="1">
        <v>4.5739656574268297</v>
      </c>
      <c r="D411" s="1">
        <v>5.5065876069569697</v>
      </c>
      <c r="E411" s="13">
        <f t="shared" si="18"/>
        <v>178.53658788053798</v>
      </c>
      <c r="F411" s="13">
        <f t="shared" si="19"/>
        <v>-6.9201171110860571</v>
      </c>
      <c r="G411" s="13">
        <f t="shared" si="20"/>
        <v>2.7414832758870133</v>
      </c>
    </row>
    <row r="412" spans="1:7" x14ac:dyDescent="0.2">
      <c r="A412" s="9">
        <v>45877</v>
      </c>
      <c r="B412" s="1">
        <v>3.7380862707826101</v>
      </c>
      <c r="C412" s="1">
        <v>4.6240928775631396</v>
      </c>
      <c r="D412" s="1">
        <v>5.5862284770488397</v>
      </c>
      <c r="E412" s="13">
        <f t="shared" si="18"/>
        <v>184.81422062662296</v>
      </c>
      <c r="F412" s="13">
        <f t="shared" si="19"/>
        <v>6.2776327460849757</v>
      </c>
      <c r="G412" s="13">
        <f t="shared" si="20"/>
        <v>5.012722013630988</v>
      </c>
    </row>
    <row r="413" spans="1:7" x14ac:dyDescent="0.2">
      <c r="A413" s="9">
        <v>45880</v>
      </c>
      <c r="B413" s="1">
        <v>3.7043508822728302</v>
      </c>
      <c r="C413" s="1">
        <v>4.5925588546750804</v>
      </c>
      <c r="D413" s="1">
        <v>5.55332170180065</v>
      </c>
      <c r="E413" s="13">
        <f t="shared" si="18"/>
        <v>184.89708195278197</v>
      </c>
      <c r="F413" s="13">
        <f t="shared" si="19"/>
        <v>8.28613261590192E-2</v>
      </c>
      <c r="G413" s="13">
        <f t="shared" si="20"/>
        <v>-3.1534022888059177</v>
      </c>
    </row>
    <row r="414" spans="1:7" x14ac:dyDescent="0.2">
      <c r="A414" s="9">
        <v>45881</v>
      </c>
      <c r="B414" s="1">
        <v>3.7369337598785402</v>
      </c>
      <c r="C414" s="1">
        <v>4.6354709232652498</v>
      </c>
      <c r="D414" s="1">
        <v>5.6046808080745301</v>
      </c>
      <c r="E414" s="13">
        <f t="shared" si="18"/>
        <v>186.77470481959898</v>
      </c>
      <c r="F414" s="13">
        <f t="shared" si="19"/>
        <v>1.8776228668170063</v>
      </c>
      <c r="G414" s="13">
        <f t="shared" si="20"/>
        <v>4.2912068590169383</v>
      </c>
    </row>
    <row r="415" spans="1:7" x14ac:dyDescent="0.2">
      <c r="A415" s="9">
        <v>45882</v>
      </c>
      <c r="B415" s="1">
        <v>3.7038148282906</v>
      </c>
      <c r="C415" s="1">
        <v>4.6151843995403201</v>
      </c>
      <c r="D415" s="1">
        <v>5.5943276622666298</v>
      </c>
      <c r="E415" s="13">
        <f t="shared" si="18"/>
        <v>189.05128339760299</v>
      </c>
      <c r="F415" s="13">
        <f t="shared" si="19"/>
        <v>2.2765785780040062</v>
      </c>
      <c r="G415" s="13">
        <f t="shared" si="20"/>
        <v>-2.0286523724929673</v>
      </c>
    </row>
    <row r="416" spans="1:7" x14ac:dyDescent="0.2">
      <c r="A416" s="9">
        <v>45883</v>
      </c>
      <c r="B416" s="1">
        <v>3.7490811275216398</v>
      </c>
      <c r="C416" s="1">
        <v>4.66668019991946</v>
      </c>
      <c r="D416" s="1">
        <v>5.6633082769877099</v>
      </c>
      <c r="E416" s="13">
        <f t="shared" si="18"/>
        <v>191.42271494660702</v>
      </c>
      <c r="F416" s="13">
        <f t="shared" si="19"/>
        <v>2.3714315490040292</v>
      </c>
      <c r="G416" s="13">
        <f t="shared" si="20"/>
        <v>5.1495800379139922</v>
      </c>
    </row>
    <row r="417" spans="1:7" x14ac:dyDescent="0.2">
      <c r="A417" s="9">
        <v>45884</v>
      </c>
      <c r="B417" s="1">
        <v>3.7633655035272202</v>
      </c>
      <c r="C417" s="1">
        <v>4.7176251649948604</v>
      </c>
      <c r="D417" s="1">
        <v>5.7384698752821599</v>
      </c>
      <c r="E417" s="13">
        <f t="shared" si="18"/>
        <v>197.51043717549396</v>
      </c>
      <c r="F417" s="13">
        <f t="shared" si="19"/>
        <v>6.0877222288869461</v>
      </c>
      <c r="G417" s="13">
        <f t="shared" si="20"/>
        <v>5.0944965075400361</v>
      </c>
    </row>
    <row r="418" spans="1:7" x14ac:dyDescent="0.2">
      <c r="A418" s="9">
        <v>45887</v>
      </c>
      <c r="B418" s="1">
        <v>3.8139004757970798</v>
      </c>
      <c r="C418" s="1">
        <v>4.77482590548715</v>
      </c>
      <c r="D418" s="1">
        <v>5.80723533024653</v>
      </c>
      <c r="E418" s="13">
        <f t="shared" si="18"/>
        <v>199.33348544494501</v>
      </c>
      <c r="F418" s="13">
        <f t="shared" si="19"/>
        <v>1.8230482694510499</v>
      </c>
      <c r="G418" s="13">
        <f t="shared" si="20"/>
        <v>5.7200740492289626</v>
      </c>
    </row>
    <row r="419" spans="1:7" x14ac:dyDescent="0.2">
      <c r="A419" s="9">
        <v>45888</v>
      </c>
      <c r="B419" s="1">
        <v>3.8172603848844999</v>
      </c>
      <c r="C419" s="1">
        <v>4.7679058091265603</v>
      </c>
      <c r="D419" s="1">
        <v>5.7920432576501604</v>
      </c>
      <c r="E419" s="13">
        <f t="shared" si="18"/>
        <v>197.47828727656605</v>
      </c>
      <c r="F419" s="13">
        <f t="shared" si="19"/>
        <v>-1.855198168378962</v>
      </c>
      <c r="G419" s="13">
        <f t="shared" si="20"/>
        <v>-0.6920096360589767</v>
      </c>
    </row>
    <row r="420" spans="1:7" x14ac:dyDescent="0.2">
      <c r="A420" s="9">
        <v>45889</v>
      </c>
      <c r="B420" s="1">
        <v>3.7690093387988002</v>
      </c>
      <c r="C420" s="1">
        <v>4.7102780738209598</v>
      </c>
      <c r="D420" s="1">
        <v>5.7220611293117498</v>
      </c>
      <c r="E420" s="13">
        <f t="shared" si="18"/>
        <v>195.30517905129497</v>
      </c>
      <c r="F420" s="13">
        <f t="shared" si="19"/>
        <v>-2.1731082252710792</v>
      </c>
      <c r="G420" s="13">
        <f t="shared" si="20"/>
        <v>-5.7627735305600503</v>
      </c>
    </row>
    <row r="421" spans="1:7" x14ac:dyDescent="0.2">
      <c r="A421" s="9">
        <v>45890</v>
      </c>
      <c r="B421" s="1">
        <v>3.8161723228613398</v>
      </c>
      <c r="C421" s="1">
        <v>4.7679627138263099</v>
      </c>
      <c r="D421" s="1">
        <v>5.7655515917293698</v>
      </c>
      <c r="E421" s="13">
        <f t="shared" si="18"/>
        <v>194.93792688680301</v>
      </c>
      <c r="F421" s="13">
        <f t="shared" si="19"/>
        <v>-0.36725216449195841</v>
      </c>
      <c r="G421" s="13">
        <f t="shared" si="20"/>
        <v>5.7684640005350118</v>
      </c>
    </row>
    <row r="422" spans="1:7" x14ac:dyDescent="0.2">
      <c r="A422" s="9">
        <v>45891</v>
      </c>
      <c r="B422" s="1">
        <v>3.7825825639835799</v>
      </c>
      <c r="C422" s="1">
        <v>4.72710641399759</v>
      </c>
      <c r="D422" s="1">
        <v>5.7299041072095802</v>
      </c>
      <c r="E422" s="13">
        <f t="shared" si="18"/>
        <v>194.73215432260002</v>
      </c>
      <c r="F422" s="13">
        <f t="shared" si="19"/>
        <v>-0.20577256420298795</v>
      </c>
      <c r="G422" s="13">
        <f t="shared" si="20"/>
        <v>-4.0856299828719855</v>
      </c>
    </row>
    <row r="423" spans="1:7" x14ac:dyDescent="0.2">
      <c r="A423" s="9">
        <v>45895</v>
      </c>
      <c r="B423" s="1">
        <v>3.8165535737072598</v>
      </c>
      <c r="C423" s="1">
        <v>4.7823857287698699</v>
      </c>
      <c r="D423" s="1">
        <v>5.7972828208243001</v>
      </c>
      <c r="E423" s="13">
        <f t="shared" si="18"/>
        <v>198.07292471170405</v>
      </c>
      <c r="F423" s="13">
        <f t="shared" si="19"/>
        <v>3.3407703891040228</v>
      </c>
      <c r="G423" s="13">
        <f t="shared" si="20"/>
        <v>5.5279314772279875</v>
      </c>
    </row>
    <row r="424" spans="1:7" x14ac:dyDescent="0.2">
      <c r="A424" s="9">
        <v>45896</v>
      </c>
      <c r="B424" s="1">
        <v>3.7992604406763402</v>
      </c>
      <c r="C424" s="1">
        <v>4.7658426441160398</v>
      </c>
      <c r="D424" s="1">
        <v>5.7744992458001301</v>
      </c>
      <c r="E424" s="13">
        <f t="shared" si="18"/>
        <v>197.52388051237898</v>
      </c>
      <c r="F424" s="13">
        <f t="shared" si="19"/>
        <v>-0.54904419932506698</v>
      </c>
      <c r="G424" s="13">
        <f t="shared" si="20"/>
        <v>-1.6543084653830142</v>
      </c>
    </row>
    <row r="425" spans="1:7" x14ac:dyDescent="0.2">
      <c r="A425" s="9">
        <v>45897</v>
      </c>
      <c r="B425" s="1">
        <v>3.7844360932877001</v>
      </c>
      <c r="C425" s="1">
        <v>4.7462034934049804</v>
      </c>
      <c r="D425" s="1">
        <v>5.7610079781387302</v>
      </c>
      <c r="E425" s="13">
        <f t="shared" si="18"/>
        <v>197.65718848510301</v>
      </c>
      <c r="F425" s="13">
        <f t="shared" si="19"/>
        <v>0.13330797272402606</v>
      </c>
      <c r="G425" s="13">
        <f t="shared" si="20"/>
        <v>-1.9639150711059372</v>
      </c>
    </row>
    <row r="426" spans="1:7" x14ac:dyDescent="0.2">
      <c r="A426" s="9">
        <v>45898</v>
      </c>
      <c r="B426" s="1">
        <v>3.78929157642713</v>
      </c>
      <c r="C426" s="1">
        <v>4.7688269706119</v>
      </c>
      <c r="D426" s="1">
        <v>5.7884404838357604</v>
      </c>
      <c r="E426" s="13">
        <f t="shared" si="18"/>
        <v>199.91489074086303</v>
      </c>
      <c r="F426" s="13">
        <f t="shared" si="19"/>
        <v>2.257702255760023</v>
      </c>
      <c r="G426" s="13">
        <f t="shared" si="20"/>
        <v>2.2623477206919596</v>
      </c>
    </row>
    <row r="427" spans="1:7" x14ac:dyDescent="0.2">
      <c r="A427" s="9">
        <v>45901</v>
      </c>
      <c r="B427" s="1">
        <v>3.81049890710154</v>
      </c>
      <c r="C427" s="1">
        <v>4.7999893456810199</v>
      </c>
      <c r="D427" s="1">
        <v>5.8351404255125798</v>
      </c>
      <c r="E427" s="13">
        <f t="shared" si="18"/>
        <v>202.46415184110398</v>
      </c>
      <c r="F427" s="13">
        <f t="shared" si="19"/>
        <v>2.5492611002409546</v>
      </c>
      <c r="G427" s="13">
        <f t="shared" si="20"/>
        <v>3.1162375069119896</v>
      </c>
    </row>
    <row r="428" spans="1:7" x14ac:dyDescent="0.2">
      <c r="A428" s="9">
        <v>45902</v>
      </c>
      <c r="B428" s="1">
        <v>3.8344299454292101</v>
      </c>
      <c r="C428" s="1">
        <v>4.8526918517123896</v>
      </c>
      <c r="D428" s="1">
        <v>5.8933117503294499</v>
      </c>
      <c r="E428" s="13">
        <f t="shared" si="18"/>
        <v>205.88818049002398</v>
      </c>
      <c r="F428" s="13">
        <f t="shared" si="19"/>
        <v>3.4240286489200003</v>
      </c>
      <c r="G428" s="13">
        <f t="shared" si="20"/>
        <v>5.2702506031369722</v>
      </c>
    </row>
    <row r="429" spans="1:7" x14ac:dyDescent="0.2">
      <c r="A429" s="9">
        <v>45903</v>
      </c>
      <c r="B429" s="1">
        <v>3.8027285926448799</v>
      </c>
      <c r="C429" s="1">
        <v>4.8012090309250599</v>
      </c>
      <c r="D429" s="1">
        <v>5.7987153422930504</v>
      </c>
      <c r="E429" s="13">
        <f t="shared" si="18"/>
        <v>199.59867496481704</v>
      </c>
      <c r="F429" s="13">
        <f t="shared" si="19"/>
        <v>-6.2895055252069483</v>
      </c>
      <c r="G429" s="13">
        <f t="shared" si="20"/>
        <v>-5.1482820787329686</v>
      </c>
    </row>
    <row r="430" spans="1:7" x14ac:dyDescent="0.2">
      <c r="A430" s="9">
        <v>45904</v>
      </c>
      <c r="B430" s="1">
        <v>3.80666168827999</v>
      </c>
      <c r="C430" s="1">
        <v>4.7825963834499703</v>
      </c>
      <c r="D430" s="1">
        <v>5.7679545398400203</v>
      </c>
      <c r="E430" s="13">
        <f t="shared" si="18"/>
        <v>196.12928515600302</v>
      </c>
      <c r="F430" s="13">
        <f t="shared" si="19"/>
        <v>-3.4693898088140145</v>
      </c>
      <c r="G430" s="13">
        <f t="shared" si="20"/>
        <v>-1.8612647475089616</v>
      </c>
    </row>
    <row r="431" spans="1:7" x14ac:dyDescent="0.2">
      <c r="A431" s="9">
        <v>45905</v>
      </c>
      <c r="B431" s="1">
        <v>3.75825853134236</v>
      </c>
      <c r="C431" s="1">
        <v>4.6980206268185096</v>
      </c>
      <c r="D431" s="1">
        <v>5.6813516188059898</v>
      </c>
      <c r="E431" s="13">
        <f t="shared" si="18"/>
        <v>192.30930874636297</v>
      </c>
      <c r="F431" s="13">
        <f t="shared" si="19"/>
        <v>-3.8199764096400486</v>
      </c>
      <c r="G431" s="13">
        <f t="shared" si="20"/>
        <v>-8.4575756631460663</v>
      </c>
    </row>
    <row r="432" spans="1:7" x14ac:dyDescent="0.2">
      <c r="A432" s="9">
        <v>45908</v>
      </c>
      <c r="B432" s="1">
        <v>3.74437200508997</v>
      </c>
      <c r="C432" s="1">
        <v>4.6606121402840399</v>
      </c>
      <c r="D432" s="1">
        <v>5.63685397718685</v>
      </c>
      <c r="E432" s="13">
        <f t="shared" si="18"/>
        <v>189.24819720968799</v>
      </c>
      <c r="F432" s="13">
        <f t="shared" si="19"/>
        <v>-3.0611115366749857</v>
      </c>
      <c r="G432" s="13">
        <f t="shared" si="20"/>
        <v>-3.7408486534469709</v>
      </c>
    </row>
    <row r="433" spans="1:7" x14ac:dyDescent="0.2">
      <c r="A433" s="9">
        <v>45909</v>
      </c>
      <c r="B433" s="1">
        <v>3.7621506424154898</v>
      </c>
      <c r="C433" s="1">
        <v>4.6801745946338</v>
      </c>
      <c r="D433" s="1">
        <v>5.6561239859468104</v>
      </c>
      <c r="E433" s="13">
        <f t="shared" si="18"/>
        <v>189.39733435313207</v>
      </c>
      <c r="F433" s="13">
        <f t="shared" si="19"/>
        <v>0.14913714344407936</v>
      </c>
      <c r="G433" s="13">
        <f t="shared" si="20"/>
        <v>1.9562454349760117</v>
      </c>
    </row>
    <row r="434" spans="1:7" x14ac:dyDescent="0.2">
      <c r="A434" s="9">
        <v>45910</v>
      </c>
      <c r="B434" s="1">
        <v>3.7851729209764602</v>
      </c>
      <c r="C434" s="1">
        <v>4.6863661188780901</v>
      </c>
      <c r="D434" s="1">
        <v>5.6639232941691597</v>
      </c>
      <c r="E434" s="13">
        <f t="shared" si="18"/>
        <v>187.87503731926995</v>
      </c>
      <c r="F434" s="13">
        <f t="shared" si="19"/>
        <v>-1.5222970338621167</v>
      </c>
      <c r="G434" s="13">
        <f t="shared" si="20"/>
        <v>0.61915242442900364</v>
      </c>
    </row>
    <row r="435" spans="1:7" x14ac:dyDescent="0.2">
      <c r="A435" s="9">
        <v>45911</v>
      </c>
      <c r="B435" s="1">
        <v>3.77779281657432</v>
      </c>
      <c r="C435" s="1">
        <v>4.6563339575219302</v>
      </c>
      <c r="D435" s="1">
        <v>5.6143426052772902</v>
      </c>
      <c r="E435" s="13">
        <f t="shared" si="18"/>
        <v>183.65497887029701</v>
      </c>
      <c r="F435" s="13">
        <f t="shared" si="19"/>
        <v>-4.2200584489729351</v>
      </c>
      <c r="G435" s="13">
        <f t="shared" si="20"/>
        <v>-3.0032161356159826</v>
      </c>
    </row>
    <row r="436" spans="1:7" x14ac:dyDescent="0.2">
      <c r="A436" s="9">
        <v>45912</v>
      </c>
      <c r="B436" s="1">
        <v>3.8104273453884399</v>
      </c>
      <c r="C436" s="1">
        <v>4.7049293964775698</v>
      </c>
      <c r="D436" s="1">
        <v>5.6514494528330701</v>
      </c>
      <c r="E436" s="13">
        <f t="shared" si="18"/>
        <v>184.10221074446304</v>
      </c>
      <c r="F436" s="13">
        <f t="shared" si="19"/>
        <v>0.44723187416602173</v>
      </c>
      <c r="G436" s="13">
        <f t="shared" si="20"/>
        <v>4.8595438955639558</v>
      </c>
    </row>
    <row r="437" spans="1:7" x14ac:dyDescent="0.2">
      <c r="A437" s="9">
        <v>45915</v>
      </c>
      <c r="B437" s="1">
        <v>3.7923806047326898</v>
      </c>
      <c r="C437" s="1">
        <v>4.6805462433322997</v>
      </c>
      <c r="D437" s="1">
        <v>5.6344237191130704</v>
      </c>
      <c r="E437" s="13">
        <f t="shared" si="18"/>
        <v>184.20431143803805</v>
      </c>
      <c r="F437" s="13">
        <f t="shared" si="19"/>
        <v>0.10210069357501084</v>
      </c>
      <c r="G437" s="13">
        <f t="shared" si="20"/>
        <v>-2.4383153145270064</v>
      </c>
    </row>
    <row r="438" spans="1:7" x14ac:dyDescent="0.2">
      <c r="A438" s="9">
        <v>45916</v>
      </c>
      <c r="B438" s="1">
        <v>3.8095891991469499</v>
      </c>
      <c r="C438" s="1">
        <v>4.6902565562947904</v>
      </c>
      <c r="D438" s="1">
        <v>5.6223056932033897</v>
      </c>
      <c r="E438" s="13">
        <f t="shared" si="18"/>
        <v>181.27164940564398</v>
      </c>
      <c r="F438" s="13">
        <f t="shared" si="19"/>
        <v>-2.9326620323940631</v>
      </c>
      <c r="G438" s="13">
        <f t="shared" si="20"/>
        <v>0.9710312962490697</v>
      </c>
    </row>
    <row r="439" spans="1:7" x14ac:dyDescent="0.2">
      <c r="A439" s="9">
        <v>45917</v>
      </c>
      <c r="B439" s="1">
        <v>3.8016664639029401</v>
      </c>
      <c r="C439" s="1">
        <v>4.6685950253584902</v>
      </c>
      <c r="D439" s="1">
        <v>5.5879202686523204</v>
      </c>
      <c r="E439" s="13">
        <f t="shared" si="18"/>
        <v>178.62538047493803</v>
      </c>
      <c r="F439" s="13">
        <f t="shared" si="19"/>
        <v>-2.6462689307059577</v>
      </c>
      <c r="G439" s="13">
        <f t="shared" si="20"/>
        <v>-2.1661530936300188</v>
      </c>
    </row>
    <row r="440" spans="1:7" x14ac:dyDescent="0.2">
      <c r="A440" s="9">
        <v>45918</v>
      </c>
      <c r="B440" s="1">
        <v>3.7975251277469799</v>
      </c>
      <c r="C440" s="1">
        <v>4.7160775393750596</v>
      </c>
      <c r="D440" s="1">
        <v>5.65989023508833</v>
      </c>
      <c r="E440" s="13">
        <f t="shared" si="18"/>
        <v>186.23651073413501</v>
      </c>
      <c r="F440" s="13">
        <f t="shared" si="19"/>
        <v>7.6111302591969832</v>
      </c>
      <c r="G440" s="13">
        <f t="shared" si="20"/>
        <v>4.7482514016569333</v>
      </c>
    </row>
    <row r="441" spans="1:7" x14ac:dyDescent="0.2">
      <c r="A441" s="9">
        <v>45919</v>
      </c>
      <c r="B441" s="1">
        <v>3.8241956166758801</v>
      </c>
      <c r="C441" s="1">
        <v>4.7671860001570199</v>
      </c>
      <c r="D441" s="1">
        <v>5.7247873237586298</v>
      </c>
      <c r="E441" s="13">
        <f t="shared" si="18"/>
        <v>190.05917070827496</v>
      </c>
      <c r="F441" s="13">
        <f t="shared" si="19"/>
        <v>3.8226599741399525</v>
      </c>
      <c r="G441" s="13">
        <f t="shared" si="20"/>
        <v>5.1108460781960297</v>
      </c>
    </row>
    <row r="442" spans="1:7" x14ac:dyDescent="0.2">
      <c r="A442" s="9">
        <v>45922</v>
      </c>
      <c r="B442" s="1">
        <v>3.8165358534154001</v>
      </c>
      <c r="C442" s="1">
        <v>4.7538043110432904</v>
      </c>
      <c r="D442" s="1">
        <v>5.7001956717890501</v>
      </c>
      <c r="E442" s="13">
        <f t="shared" si="18"/>
        <v>188.36598183736498</v>
      </c>
      <c r="F442" s="13">
        <f t="shared" si="19"/>
        <v>-1.693188870909978</v>
      </c>
      <c r="G442" s="13">
        <f t="shared" si="20"/>
        <v>-1.33816891137295</v>
      </c>
    </row>
    <row r="443" spans="1:7" x14ac:dyDescent="0.2">
      <c r="A443" s="9">
        <v>45923</v>
      </c>
      <c r="B443" s="1">
        <v>3.81300052651198</v>
      </c>
      <c r="C443" s="1">
        <v>4.7433418662620301</v>
      </c>
      <c r="D443" s="1">
        <v>5.6646498608082396</v>
      </c>
      <c r="E443" s="13">
        <f t="shared" si="18"/>
        <v>185.16493342962596</v>
      </c>
      <c r="F443" s="13">
        <f t="shared" si="19"/>
        <v>-3.2010484077390231</v>
      </c>
      <c r="G443" s="13">
        <f t="shared" si="20"/>
        <v>-1.0462444781260238</v>
      </c>
    </row>
    <row r="444" spans="1:7" x14ac:dyDescent="0.2">
      <c r="A444" s="9">
        <v>45924</v>
      </c>
      <c r="B444" s="1">
        <v>3.8001930830719401</v>
      </c>
      <c r="C444" s="1">
        <v>4.7313538822703203</v>
      </c>
      <c r="D444" s="1">
        <v>5.6484798923783996</v>
      </c>
      <c r="E444" s="13">
        <f t="shared" si="18"/>
        <v>184.82868093064596</v>
      </c>
      <c r="F444" s="13">
        <f t="shared" si="19"/>
        <v>-0.3362524989800022</v>
      </c>
      <c r="G444" s="13">
        <f t="shared" si="20"/>
        <v>-1.1987983991709861</v>
      </c>
    </row>
    <row r="445" spans="1:7" x14ac:dyDescent="0.2">
      <c r="A445" s="9">
        <v>45925</v>
      </c>
      <c r="B445" s="1">
        <v>3.8523068970893801</v>
      </c>
      <c r="C445" s="1">
        <v>4.8003674468207</v>
      </c>
      <c r="D445" s="1">
        <v>5.7041385320937401</v>
      </c>
      <c r="E445" s="13">
        <f t="shared" si="18"/>
        <v>185.183163500436</v>
      </c>
      <c r="F445" s="13">
        <f t="shared" si="19"/>
        <v>0.35448256979003645</v>
      </c>
      <c r="G445" s="13">
        <f t="shared" si="20"/>
        <v>6.9013564550379769</v>
      </c>
    </row>
    <row r="446" spans="1:7" x14ac:dyDescent="0.2">
      <c r="A446" s="9">
        <v>45926</v>
      </c>
      <c r="B446" s="1">
        <v>3.8673224469490299</v>
      </c>
      <c r="C446" s="1">
        <v>4.8017754986060401</v>
      </c>
      <c r="D446" s="1">
        <v>5.7114790822797099</v>
      </c>
      <c r="E446" s="13">
        <f t="shared" si="18"/>
        <v>184.415663533068</v>
      </c>
      <c r="F446" s="13">
        <f t="shared" si="19"/>
        <v>-0.76749996736799631</v>
      </c>
      <c r="G446" s="13">
        <f t="shared" si="20"/>
        <v>0.1408051785340092</v>
      </c>
    </row>
    <row r="447" spans="1:7" x14ac:dyDescent="0.2">
      <c r="A447" s="9">
        <v>45929</v>
      </c>
      <c r="B447" s="1">
        <v>3.8404826297505901</v>
      </c>
      <c r="C447" s="1">
        <v>4.7587827942044498</v>
      </c>
      <c r="D447" s="1">
        <v>5.6632347119161803</v>
      </c>
      <c r="E447" s="13">
        <f t="shared" si="18"/>
        <v>182.27520821655904</v>
      </c>
      <c r="F447" s="13">
        <f t="shared" si="19"/>
        <v>-2.1404553165089624</v>
      </c>
      <c r="G447" s="13">
        <f t="shared" si="20"/>
        <v>-4.2992704401590309</v>
      </c>
    </row>
    <row r="448" spans="1:7" x14ac:dyDescent="0.2">
      <c r="A448" s="9">
        <v>45930</v>
      </c>
      <c r="B448" s="1">
        <v>3.8457796901359198</v>
      </c>
      <c r="C448" s="1">
        <v>4.7628351906055801</v>
      </c>
      <c r="D448" s="1">
        <v>5.6614165192817003</v>
      </c>
      <c r="E448" s="13">
        <f t="shared" si="18"/>
        <v>181.56368291457804</v>
      </c>
      <c r="F448" s="13">
        <f t="shared" si="19"/>
        <v>-0.71152530198099839</v>
      </c>
      <c r="G448" s="13">
        <f t="shared" si="20"/>
        <v>0.40523964011303093</v>
      </c>
    </row>
    <row r="449" spans="1:7" x14ac:dyDescent="0.2">
      <c r="A449" s="9">
        <v>45931</v>
      </c>
      <c r="B449" s="1">
        <v>3.8181691258988502</v>
      </c>
      <c r="C449" s="1">
        <v>4.7558775506691902</v>
      </c>
      <c r="D449" s="1">
        <v>5.6650502998561896</v>
      </c>
      <c r="E449" s="13">
        <f t="shared" si="18"/>
        <v>184.68811739573394</v>
      </c>
      <c r="F449" s="13">
        <f t="shared" si="19"/>
        <v>3.1244344811559017</v>
      </c>
      <c r="G449" s="13">
        <f t="shared" si="20"/>
        <v>-0.6957639936389981</v>
      </c>
    </row>
    <row r="450" spans="1:7" x14ac:dyDescent="0.2">
      <c r="A450" s="9">
        <v>45932</v>
      </c>
      <c r="B450" s="1">
        <v>3.8397203219684899</v>
      </c>
      <c r="C450" s="1">
        <v>4.7696981552161999</v>
      </c>
      <c r="D450" s="1">
        <v>5.67315179565822</v>
      </c>
      <c r="E450" s="13">
        <f t="shared" si="18"/>
        <v>183.34314736897301</v>
      </c>
      <c r="F450" s="13">
        <f t="shared" si="19"/>
        <v>-1.344970026760933</v>
      </c>
      <c r="G450" s="13">
        <f t="shared" si="20"/>
        <v>1.3820604547009729</v>
      </c>
    </row>
    <row r="451" spans="1:7" x14ac:dyDescent="0.2">
      <c r="A451" s="9">
        <v>45933</v>
      </c>
      <c r="B451" s="1">
        <v>3.8226872700319499</v>
      </c>
      <c r="C451" s="1">
        <v>4.7534520432039704</v>
      </c>
      <c r="D451" s="1">
        <v>5.6575060394699301</v>
      </c>
      <c r="E451" s="13">
        <f t="shared" si="18"/>
        <v>183.48187694379803</v>
      </c>
      <c r="F451" s="13">
        <f t="shared" si="19"/>
        <v>0.13872957482502102</v>
      </c>
      <c r="G451" s="13">
        <f t="shared" si="20"/>
        <v>-1.6246112012229474</v>
      </c>
    </row>
    <row r="452" spans="1:7" x14ac:dyDescent="0.2">
      <c r="A452" s="9">
        <v>45936</v>
      </c>
      <c r="B452" s="1">
        <v>3.8391262453044499</v>
      </c>
      <c r="C452" s="1">
        <v>4.7851098646511803</v>
      </c>
      <c r="D452" s="1">
        <v>5.7001302991372702</v>
      </c>
      <c r="E452" s="13">
        <f t="shared" si="18"/>
        <v>186.10040538328204</v>
      </c>
      <c r="F452" s="13">
        <f t="shared" si="19"/>
        <v>2.6185284394840096</v>
      </c>
      <c r="G452" s="13">
        <f t="shared" si="20"/>
        <v>3.1657821447209855</v>
      </c>
    </row>
    <row r="453" spans="1:7" x14ac:dyDescent="0.2">
      <c r="A453" s="9">
        <v>45937</v>
      </c>
      <c r="B453" s="1">
        <v>3.850678669313</v>
      </c>
      <c r="C453" s="1">
        <v>4.7945949581325502</v>
      </c>
      <c r="D453" s="1">
        <v>5.7058583465158197</v>
      </c>
      <c r="E453" s="13">
        <f t="shared" si="18"/>
        <v>185.51796772028197</v>
      </c>
      <c r="F453" s="13">
        <f t="shared" si="19"/>
        <v>-0.58243766300006428</v>
      </c>
      <c r="G453" s="13">
        <f t="shared" si="20"/>
        <v>0.94850934813699439</v>
      </c>
    </row>
    <row r="454" spans="1:7" x14ac:dyDescent="0.2">
      <c r="A454" s="9">
        <v>45938</v>
      </c>
      <c r="B454" s="1">
        <v>3.8530648262198901</v>
      </c>
      <c r="C454" s="1">
        <v>4.7697263635616798</v>
      </c>
      <c r="D454" s="1">
        <v>5.6690306985677097</v>
      </c>
      <c r="E454" s="13">
        <f t="shared" si="18"/>
        <v>181.59658723478196</v>
      </c>
      <c r="F454" s="13">
        <f t="shared" si="19"/>
        <v>-3.9213804855000092</v>
      </c>
      <c r="G454" s="13">
        <f t="shared" si="20"/>
        <v>-2.4868594570870428</v>
      </c>
    </row>
    <row r="455" spans="1:7" x14ac:dyDescent="0.2">
      <c r="A455" s="9">
        <v>45939</v>
      </c>
      <c r="B455" s="1">
        <v>3.86665726000858</v>
      </c>
      <c r="C455" s="1">
        <v>4.8085883615708296</v>
      </c>
      <c r="D455" s="1">
        <v>5.6993295206788401</v>
      </c>
      <c r="E455" s="13">
        <f t="shared" ref="E455:E518" si="21">(D455-B455)*100</f>
        <v>183.267226067026</v>
      </c>
      <c r="F455" s="13">
        <f t="shared" si="19"/>
        <v>1.6706388322440375</v>
      </c>
      <c r="G455" s="13">
        <f t="shared" si="20"/>
        <v>3.8861998009149801</v>
      </c>
    </row>
    <row r="456" spans="1:7" x14ac:dyDescent="0.2">
      <c r="A456" s="9">
        <v>45940</v>
      </c>
      <c r="B456" s="1">
        <v>3.81770865503294</v>
      </c>
      <c r="C456" s="1">
        <v>4.7326488143282504</v>
      </c>
      <c r="D456" s="1">
        <v>5.6141261314422897</v>
      </c>
      <c r="E456" s="13">
        <f t="shared" si="21"/>
        <v>179.64174764093497</v>
      </c>
      <c r="F456" s="13">
        <f t="shared" ref="F456:F519" si="22">E456-E455</f>
        <v>-3.6254784260910355</v>
      </c>
      <c r="G456" s="13">
        <f t="shared" ref="G456:G519" si="23">(C456-C455)*100</f>
        <v>-7.5939547242579231</v>
      </c>
    </row>
    <row r="457" spans="1:7" x14ac:dyDescent="0.2">
      <c r="A457" s="9">
        <v>45943</v>
      </c>
      <c r="B457" s="1">
        <v>3.8054751244689</v>
      </c>
      <c r="C457" s="1">
        <v>4.7242409627857098</v>
      </c>
      <c r="D457" s="1">
        <v>5.6187829602177297</v>
      </c>
      <c r="E457" s="13">
        <f t="shared" si="21"/>
        <v>181.33078357488296</v>
      </c>
      <c r="F457" s="13">
        <f t="shared" si="22"/>
        <v>1.6890359339479915</v>
      </c>
      <c r="G457" s="13">
        <f t="shared" si="23"/>
        <v>-0.84078515425405342</v>
      </c>
    </row>
    <row r="458" spans="1:7" x14ac:dyDescent="0.2">
      <c r="A458" s="9">
        <v>45944</v>
      </c>
      <c r="B458" s="1">
        <v>3.7477362040798501</v>
      </c>
      <c r="C458" s="1">
        <v>4.6465968186811901</v>
      </c>
      <c r="D458" s="1">
        <v>5.5418394680752403</v>
      </c>
      <c r="E458" s="13">
        <f t="shared" si="21"/>
        <v>179.41032639953903</v>
      </c>
      <c r="F458" s="13">
        <f t="shared" si="22"/>
        <v>-1.9204571753439268</v>
      </c>
      <c r="G458" s="13">
        <f t="shared" si="23"/>
        <v>-7.7644144104519697</v>
      </c>
    </row>
    <row r="459" spans="1:7" x14ac:dyDescent="0.2">
      <c r="A459" s="9">
        <v>45945</v>
      </c>
      <c r="B459" s="1">
        <v>3.72267040207708</v>
      </c>
      <c r="C459" s="1">
        <v>4.5963976747997304</v>
      </c>
      <c r="D459" s="1">
        <v>5.4878859516413696</v>
      </c>
      <c r="E459" s="13">
        <f t="shared" si="21"/>
        <v>176.52155495642896</v>
      </c>
      <c r="F459" s="13">
        <f t="shared" si="22"/>
        <v>-2.8887714431100733</v>
      </c>
      <c r="G459" s="13">
        <f t="shared" si="23"/>
        <v>-5.019914388145974</v>
      </c>
    </row>
    <row r="460" spans="1:7" x14ac:dyDescent="0.2">
      <c r="A460" s="9">
        <v>45946</v>
      </c>
      <c r="B460" s="1">
        <v>3.7049857160838302</v>
      </c>
      <c r="C460" s="1">
        <v>4.5732883574968897</v>
      </c>
      <c r="D460" s="1">
        <v>5.4609626926330703</v>
      </c>
      <c r="E460" s="13">
        <f t="shared" si="21"/>
        <v>175.59769765492402</v>
      </c>
      <c r="F460" s="13">
        <f t="shared" si="22"/>
        <v>-0.92385730150493828</v>
      </c>
      <c r="G460" s="13">
        <f t="shared" si="23"/>
        <v>-2.3109317302840715</v>
      </c>
    </row>
    <row r="461" spans="1:7" x14ac:dyDescent="0.2">
      <c r="A461" s="9">
        <v>45947</v>
      </c>
      <c r="B461" s="1">
        <v>3.7220186319998199</v>
      </c>
      <c r="C461" s="1">
        <v>4.5962657075773397</v>
      </c>
      <c r="D461" s="1">
        <v>5.4923829064625904</v>
      </c>
      <c r="E461" s="13">
        <f t="shared" si="21"/>
        <v>177.03642744627706</v>
      </c>
      <c r="F461" s="13">
        <f t="shared" si="22"/>
        <v>1.4387297913530404</v>
      </c>
      <c r="G461" s="13">
        <f t="shared" si="23"/>
        <v>2.2977350080449988</v>
      </c>
    </row>
    <row r="462" spans="1:7" x14ac:dyDescent="0.2">
      <c r="A462" s="9">
        <v>45950</v>
      </c>
      <c r="B462" s="1">
        <v>3.7000229674194798</v>
      </c>
      <c r="C462" s="1">
        <v>4.5732400090730296</v>
      </c>
      <c r="D462" s="1">
        <v>5.4648105636323798</v>
      </c>
      <c r="E462" s="13">
        <f t="shared" si="21"/>
        <v>176.47875962129001</v>
      </c>
      <c r="F462" s="13">
        <f t="shared" si="22"/>
        <v>-0.5576678249870497</v>
      </c>
      <c r="G462" s="13">
        <f t="shared" si="23"/>
        <v>-2.3025698504310022</v>
      </c>
    </row>
    <row r="463" spans="1:7" x14ac:dyDescent="0.2">
      <c r="A463" s="9">
        <v>45951</v>
      </c>
      <c r="B463" s="1">
        <v>3.7032894399475098</v>
      </c>
      <c r="C463" s="1">
        <v>4.5432929773670496</v>
      </c>
      <c r="D463" s="1">
        <v>5.4148133208433498</v>
      </c>
      <c r="E463" s="13">
        <f t="shared" si="21"/>
        <v>171.15238808958401</v>
      </c>
      <c r="F463" s="13">
        <f t="shared" si="22"/>
        <v>-5.3263715317060019</v>
      </c>
      <c r="G463" s="13">
        <f t="shared" si="23"/>
        <v>-2.994703170598001</v>
      </c>
    </row>
    <row r="464" spans="1:7" x14ac:dyDescent="0.2">
      <c r="A464" s="9">
        <v>45952</v>
      </c>
      <c r="B464" s="1">
        <v>3.6123868330293498</v>
      </c>
      <c r="C464" s="1">
        <v>4.4798548189023002</v>
      </c>
      <c r="D464" s="1">
        <v>5.3673936991430198</v>
      </c>
      <c r="E464" s="13">
        <f t="shared" si="21"/>
        <v>175.500686611367</v>
      </c>
      <c r="F464" s="13">
        <f t="shared" si="22"/>
        <v>4.3482985217829935</v>
      </c>
      <c r="G464" s="13">
        <f t="shared" si="23"/>
        <v>-6.3438158464749428</v>
      </c>
    </row>
    <row r="465" spans="1:7" x14ac:dyDescent="0.2">
      <c r="A465" s="9">
        <v>45953</v>
      </c>
      <c r="B465" s="1">
        <v>3.6212117607989298</v>
      </c>
      <c r="C465" s="1">
        <v>4.4791900053270401</v>
      </c>
      <c r="D465" s="1">
        <v>5.3700466984121604</v>
      </c>
      <c r="E465" s="13">
        <f t="shared" si="21"/>
        <v>174.88349376132305</v>
      </c>
      <c r="F465" s="13">
        <f t="shared" si="22"/>
        <v>-0.61719285004394919</v>
      </c>
      <c r="G465" s="13">
        <f t="shared" si="23"/>
        <v>-6.6481357526004814E-2</v>
      </c>
    </row>
    <row r="466" spans="1:7" x14ac:dyDescent="0.2">
      <c r="A466" s="9">
        <v>45954</v>
      </c>
      <c r="B466" s="1">
        <v>3.64260855445308</v>
      </c>
      <c r="C466" s="1">
        <v>4.49103172904326</v>
      </c>
      <c r="D466" s="1">
        <v>5.3593624321028797</v>
      </c>
      <c r="E466" s="13">
        <f t="shared" si="21"/>
        <v>171.67538776497997</v>
      </c>
      <c r="F466" s="13">
        <f t="shared" si="22"/>
        <v>-3.2081059963430789</v>
      </c>
      <c r="G466" s="13">
        <f t="shared" si="23"/>
        <v>1.1841723716219832</v>
      </c>
    </row>
    <row r="467" spans="1:7" x14ac:dyDescent="0.2">
      <c r="A467" s="9">
        <v>45957</v>
      </c>
      <c r="B467" s="1">
        <v>3.6355159009024298</v>
      </c>
      <c r="C467" s="1">
        <v>4.4675648378253703</v>
      </c>
      <c r="D467" s="1">
        <v>5.3248438196291596</v>
      </c>
      <c r="E467" s="13">
        <f t="shared" si="21"/>
        <v>168.93279187267299</v>
      </c>
      <c r="F467" s="13">
        <f t="shared" si="22"/>
        <v>-2.74259589230698</v>
      </c>
      <c r="G467" s="13">
        <f t="shared" si="23"/>
        <v>-2.3466891217889696</v>
      </c>
    </row>
    <row r="468" spans="1:7" x14ac:dyDescent="0.2">
      <c r="A468" s="9">
        <v>45958</v>
      </c>
      <c r="B468" s="1">
        <v>3.6250997803587302</v>
      </c>
      <c r="C468" s="1">
        <v>4.4618459549413299</v>
      </c>
      <c r="D468" s="1">
        <v>5.3077742535421102</v>
      </c>
      <c r="E468" s="13">
        <f t="shared" si="21"/>
        <v>168.26744731833801</v>
      </c>
      <c r="F468" s="13">
        <f t="shared" si="22"/>
        <v>-0.66534455433497897</v>
      </c>
      <c r="G468" s="13">
        <f t="shared" si="23"/>
        <v>-0.57188828840404327</v>
      </c>
    </row>
    <row r="469" spans="1:7" x14ac:dyDescent="0.2">
      <c r="A469" s="9">
        <v>45959</v>
      </c>
      <c r="B469" s="1">
        <v>3.62486342094431</v>
      </c>
      <c r="C469" s="1">
        <v>4.4594796569185</v>
      </c>
      <c r="D469" s="1">
        <v>5.30778705625971</v>
      </c>
      <c r="E469" s="13">
        <f t="shared" si="21"/>
        <v>168.29236353153999</v>
      </c>
      <c r="F469" s="13">
        <f t="shared" si="22"/>
        <v>2.4916213201976234E-2</v>
      </c>
      <c r="G469" s="13">
        <f t="shared" si="23"/>
        <v>-0.2366298022829838</v>
      </c>
    </row>
    <row r="470" spans="1:7" x14ac:dyDescent="0.2">
      <c r="A470" s="9">
        <v>45960</v>
      </c>
      <c r="B470" s="1">
        <v>3.6445612535956999</v>
      </c>
      <c r="C470" s="1">
        <v>4.4714203503162704</v>
      </c>
      <c r="D470" s="1">
        <v>5.2927322129837497</v>
      </c>
      <c r="E470" s="13">
        <f t="shared" si="21"/>
        <v>164.81709593880498</v>
      </c>
      <c r="F470" s="13">
        <f t="shared" si="22"/>
        <v>-3.4752675927350083</v>
      </c>
      <c r="G470" s="13">
        <f t="shared" si="23"/>
        <v>1.1940693397770374</v>
      </c>
    </row>
    <row r="471" spans="1:7" x14ac:dyDescent="0.2">
      <c r="A471" s="9">
        <v>45961</v>
      </c>
      <c r="B471" s="1">
        <v>3.6335422790735499</v>
      </c>
      <c r="C471" s="1">
        <v>4.4773079806853699</v>
      </c>
      <c r="D471" s="1">
        <v>5.3137948397597903</v>
      </c>
      <c r="E471" s="13">
        <f t="shared" si="21"/>
        <v>168.02525606862403</v>
      </c>
      <c r="F471" s="13">
        <f t="shared" si="22"/>
        <v>3.2081601298190492</v>
      </c>
      <c r="G471" s="13">
        <f t="shared" si="23"/>
        <v>0.58876303690995613</v>
      </c>
    </row>
    <row r="472" spans="1:7" x14ac:dyDescent="0.2">
      <c r="A472" s="9">
        <v>45964</v>
      </c>
      <c r="B472" s="1">
        <v>3.6608724956045302</v>
      </c>
      <c r="C472" s="1">
        <v>4.5072789328022198</v>
      </c>
      <c r="D472" s="1">
        <v>5.3500426416538103</v>
      </c>
      <c r="E472" s="13">
        <f t="shared" si="21"/>
        <v>168.917014604928</v>
      </c>
      <c r="F472" s="13">
        <f t="shared" si="22"/>
        <v>0.89175853630396773</v>
      </c>
      <c r="G472" s="13">
        <f t="shared" si="23"/>
        <v>2.9970952116849858</v>
      </c>
    </row>
    <row r="473" spans="1:7" x14ac:dyDescent="0.2">
      <c r="A473" s="9">
        <v>45965</v>
      </c>
      <c r="B473" s="1">
        <v>3.6354664185111698</v>
      </c>
      <c r="C473" s="1">
        <v>4.4734802077285396</v>
      </c>
      <c r="D473" s="1">
        <v>5.3242485132844299</v>
      </c>
      <c r="E473" s="13">
        <f t="shared" si="21"/>
        <v>168.87820947732601</v>
      </c>
      <c r="F473" s="13">
        <f t="shared" si="22"/>
        <v>-3.8805127601989398E-2</v>
      </c>
      <c r="G473" s="13">
        <f t="shared" si="23"/>
        <v>-3.3798725073680203</v>
      </c>
    </row>
    <row r="474" spans="1:7" x14ac:dyDescent="0.2">
      <c r="A474" s="9">
        <v>45966</v>
      </c>
      <c r="B474" s="1">
        <v>3.6783639732979698</v>
      </c>
      <c r="C474" s="1">
        <v>4.5312195135618598</v>
      </c>
      <c r="D474" s="1">
        <v>5.3963290239895603</v>
      </c>
      <c r="E474" s="13">
        <f t="shared" si="21"/>
        <v>171.79650506915905</v>
      </c>
      <c r="F474" s="13">
        <f t="shared" si="22"/>
        <v>2.9182955918330435</v>
      </c>
      <c r="G474" s="13">
        <f t="shared" si="23"/>
        <v>5.7739305833320209</v>
      </c>
    </row>
    <row r="475" spans="1:7" x14ac:dyDescent="0.2">
      <c r="A475" s="9">
        <v>45967</v>
      </c>
      <c r="B475" s="1">
        <v>3.65436498724964</v>
      </c>
      <c r="C475" s="1">
        <v>4.5025077554397299</v>
      </c>
      <c r="D475" s="1">
        <v>5.3666211990631796</v>
      </c>
      <c r="E475" s="13">
        <f t="shared" si="21"/>
        <v>171.22562118135397</v>
      </c>
      <c r="F475" s="13">
        <f t="shared" si="22"/>
        <v>-0.57088388780508126</v>
      </c>
      <c r="G475" s="13">
        <f t="shared" si="23"/>
        <v>-2.8711758122129893</v>
      </c>
    </row>
    <row r="476" spans="1:7" x14ac:dyDescent="0.2">
      <c r="A476" s="9">
        <v>45968</v>
      </c>
      <c r="B476" s="1">
        <v>3.6643799592645201</v>
      </c>
      <c r="C476" s="1">
        <v>4.5251236041845004</v>
      </c>
      <c r="D476" s="1">
        <v>5.3866225531785998</v>
      </c>
      <c r="E476" s="13">
        <f t="shared" si="21"/>
        <v>172.22425939140797</v>
      </c>
      <c r="F476" s="13">
        <f t="shared" si="22"/>
        <v>0.998638210053997</v>
      </c>
      <c r="G476" s="13">
        <f t="shared" si="23"/>
        <v>2.2615848744770517</v>
      </c>
    </row>
    <row r="477" spans="1:7" x14ac:dyDescent="0.2">
      <c r="A477" s="9">
        <v>45971</v>
      </c>
      <c r="B477" s="1">
        <v>3.67222821731011</v>
      </c>
      <c r="C477" s="1">
        <v>4.5210700850019201</v>
      </c>
      <c r="D477" s="1">
        <v>5.3744466976258503</v>
      </c>
      <c r="E477" s="13">
        <f t="shared" si="21"/>
        <v>170.22184803157404</v>
      </c>
      <c r="F477" s="13">
        <f t="shared" si="22"/>
        <v>-2.0024113598339284</v>
      </c>
      <c r="G477" s="13">
        <f t="shared" si="23"/>
        <v>-0.40535191825803452</v>
      </c>
    </row>
    <row r="478" spans="1:7" x14ac:dyDescent="0.2">
      <c r="A478" s="9">
        <v>45972</v>
      </c>
      <c r="B478" s="1">
        <v>3.5980353646557401</v>
      </c>
      <c r="C478" s="1">
        <v>4.4518335672697296</v>
      </c>
      <c r="D478" s="1">
        <v>5.3065388714748796</v>
      </c>
      <c r="E478" s="13">
        <f t="shared" si="21"/>
        <v>170.85035068191394</v>
      </c>
      <c r="F478" s="13">
        <f t="shared" si="22"/>
        <v>0.62850265033989672</v>
      </c>
      <c r="G478" s="13">
        <f t="shared" si="23"/>
        <v>-6.9236517732190528</v>
      </c>
    </row>
    <row r="479" spans="1:7" x14ac:dyDescent="0.2">
      <c r="A479" s="9">
        <v>45973</v>
      </c>
      <c r="B479" s="1">
        <v>3.6071872705833301</v>
      </c>
      <c r="C479" s="1">
        <v>4.4741609719609796</v>
      </c>
      <c r="D479" s="1">
        <v>5.33711929612529</v>
      </c>
      <c r="E479" s="13">
        <f t="shared" si="21"/>
        <v>172.99320255419599</v>
      </c>
      <c r="F479" s="13">
        <f t="shared" si="22"/>
        <v>2.1428518722820513</v>
      </c>
      <c r="G479" s="13">
        <f t="shared" si="23"/>
        <v>2.2327404691250052</v>
      </c>
    </row>
    <row r="480" spans="1:7" x14ac:dyDescent="0.2">
      <c r="A480" s="9">
        <v>45974</v>
      </c>
      <c r="B480" s="1">
        <v>3.6331652555842902</v>
      </c>
      <c r="C480" s="1">
        <v>4.5054296476835498</v>
      </c>
      <c r="D480" s="1">
        <v>5.3731803507139002</v>
      </c>
      <c r="E480" s="13">
        <f t="shared" si="21"/>
        <v>174.00150951296101</v>
      </c>
      <c r="F480" s="13">
        <f t="shared" si="22"/>
        <v>1.0083069587650186</v>
      </c>
      <c r="G480" s="13">
        <f t="shared" si="23"/>
        <v>3.1268675722570194</v>
      </c>
    </row>
    <row r="481" spans="1:7" x14ac:dyDescent="0.2">
      <c r="A481" s="9">
        <v>45975</v>
      </c>
      <c r="B481" s="1">
        <v>3.7116669055401701</v>
      </c>
      <c r="C481" s="1">
        <v>4.6369214232610902</v>
      </c>
      <c r="D481" s="1">
        <v>5.5454742584651804</v>
      </c>
      <c r="E481" s="13">
        <f t="shared" si="21"/>
        <v>183.38073529250102</v>
      </c>
      <c r="F481" s="13">
        <f t="shared" si="22"/>
        <v>9.3792257795400076</v>
      </c>
      <c r="G481" s="13">
        <f t="shared" si="23"/>
        <v>13.149177557754044</v>
      </c>
    </row>
    <row r="482" spans="1:7" x14ac:dyDescent="0.2">
      <c r="A482" s="9">
        <v>45978</v>
      </c>
      <c r="B482" s="1">
        <v>3.6777989769397998</v>
      </c>
      <c r="C482" s="1">
        <v>4.6108732752661501</v>
      </c>
      <c r="D482" s="1">
        <v>5.5026112971714696</v>
      </c>
      <c r="E482" s="13">
        <f t="shared" si="21"/>
        <v>182.48123202316697</v>
      </c>
      <c r="F482" s="13">
        <f t="shared" si="22"/>
        <v>-0.89950326933404767</v>
      </c>
      <c r="G482" s="13">
        <f t="shared" si="23"/>
        <v>-2.6048147994940152</v>
      </c>
    </row>
    <row r="483" spans="1:7" x14ac:dyDescent="0.2">
      <c r="A483" s="9">
        <v>45979</v>
      </c>
      <c r="B483" s="1">
        <v>3.6708278083431201</v>
      </c>
      <c r="C483" s="1">
        <v>4.6187913239556497</v>
      </c>
      <c r="D483" s="1">
        <v>5.5238550839336202</v>
      </c>
      <c r="E483" s="13">
        <f t="shared" si="21"/>
        <v>185.30272755905003</v>
      </c>
      <c r="F483" s="13">
        <f t="shared" si="22"/>
        <v>2.8214955358830593</v>
      </c>
      <c r="G483" s="13">
        <f t="shared" si="23"/>
        <v>0.79180486894996349</v>
      </c>
    </row>
    <row r="484" spans="1:7" x14ac:dyDescent="0.2">
      <c r="A484" s="9">
        <v>45980</v>
      </c>
      <c r="B484" s="1">
        <v>3.6871937264823198</v>
      </c>
      <c r="C484" s="1">
        <v>4.6835713121282403</v>
      </c>
      <c r="D484" s="1">
        <v>5.61009848639317</v>
      </c>
      <c r="E484" s="13">
        <f t="shared" si="21"/>
        <v>192.29047599108503</v>
      </c>
      <c r="F484" s="13">
        <f t="shared" si="22"/>
        <v>6.987748432035005</v>
      </c>
      <c r="G484" s="13">
        <f t="shared" si="23"/>
        <v>6.4779988172590564</v>
      </c>
    </row>
    <row r="485" spans="1:7" x14ac:dyDescent="0.2">
      <c r="A485" s="9">
        <v>45981</v>
      </c>
      <c r="B485" s="1">
        <v>3.6687054520949598</v>
      </c>
      <c r="C485" s="1">
        <v>4.6592644377721903</v>
      </c>
      <c r="D485" s="1">
        <v>5.5735122447216998</v>
      </c>
      <c r="E485" s="13">
        <f t="shared" si="21"/>
        <v>190.48067926267402</v>
      </c>
      <c r="F485" s="13">
        <f t="shared" si="22"/>
        <v>-1.8097967284110155</v>
      </c>
      <c r="G485" s="13">
        <f t="shared" si="23"/>
        <v>-2.4306874356049946</v>
      </c>
    </row>
    <row r="486" spans="1:7" x14ac:dyDescent="0.2">
      <c r="A486" s="9">
        <v>45982</v>
      </c>
      <c r="B486" s="1">
        <v>3.6460264874696402</v>
      </c>
      <c r="C486" s="1">
        <v>4.6141496344312696</v>
      </c>
      <c r="D486" s="1">
        <v>5.5055781598352196</v>
      </c>
      <c r="E486" s="13">
        <f t="shared" si="21"/>
        <v>185.95516723655794</v>
      </c>
      <c r="F486" s="13">
        <f t="shared" si="22"/>
        <v>-4.5255120261160755</v>
      </c>
      <c r="G486" s="13">
        <f t="shared" si="23"/>
        <v>-4.5114803340920773</v>
      </c>
    </row>
    <row r="487" spans="1:7" x14ac:dyDescent="0.2">
      <c r="A487" s="9">
        <v>45985</v>
      </c>
      <c r="B487" s="1">
        <v>3.6705276332280801</v>
      </c>
      <c r="C487" s="1">
        <v>4.6240889372325196</v>
      </c>
      <c r="D487" s="1">
        <v>5.5123445435687604</v>
      </c>
      <c r="E487" s="13">
        <f t="shared" si="21"/>
        <v>184.18169103406802</v>
      </c>
      <c r="F487" s="13">
        <f t="shared" si="22"/>
        <v>-1.7734762024899169</v>
      </c>
      <c r="G487" s="13">
        <f t="shared" si="23"/>
        <v>0.9939302801249994</v>
      </c>
    </row>
    <row r="488" spans="1:7" x14ac:dyDescent="0.2">
      <c r="A488" s="9">
        <v>45986</v>
      </c>
      <c r="B488" s="1">
        <v>3.6316811735378201</v>
      </c>
      <c r="C488" s="1">
        <v>4.5704923054449402</v>
      </c>
      <c r="D488" s="1">
        <v>5.4604972559222604</v>
      </c>
      <c r="E488" s="13">
        <f t="shared" si="21"/>
        <v>182.88160823844404</v>
      </c>
      <c r="F488" s="13">
        <f t="shared" si="22"/>
        <v>-1.3000827956239789</v>
      </c>
      <c r="G488" s="13">
        <f t="shared" si="23"/>
        <v>-5.3596631787579341</v>
      </c>
    </row>
    <row r="489" spans="1:7" x14ac:dyDescent="0.2">
      <c r="A489" s="9">
        <v>45987</v>
      </c>
      <c r="B489" s="1">
        <v>3.6006154504020098</v>
      </c>
      <c r="C489" s="1">
        <v>4.5109201151066598</v>
      </c>
      <c r="D489" s="1">
        <v>5.3527366105836398</v>
      </c>
      <c r="E489" s="13">
        <f t="shared" si="21"/>
        <v>175.21211601816299</v>
      </c>
      <c r="F489" s="13">
        <f t="shared" si="22"/>
        <v>-7.6694922202810574</v>
      </c>
      <c r="G489" s="13">
        <f t="shared" si="23"/>
        <v>-5.9572190338280429</v>
      </c>
    </row>
    <row r="490" spans="1:7" x14ac:dyDescent="0.2">
      <c r="A490" s="9">
        <v>45988</v>
      </c>
      <c r="B490" s="1">
        <v>3.62926939697847</v>
      </c>
      <c r="C490" s="1">
        <v>4.54110659858405</v>
      </c>
      <c r="D490" s="1">
        <v>5.3335272694722899</v>
      </c>
      <c r="E490" s="13">
        <f t="shared" si="21"/>
        <v>170.42578724938201</v>
      </c>
      <c r="F490" s="13">
        <f t="shared" si="22"/>
        <v>-4.7863287687809759</v>
      </c>
      <c r="G490" s="13">
        <f t="shared" si="23"/>
        <v>3.0186483477390169</v>
      </c>
    </row>
    <row r="491" spans="1:7" x14ac:dyDescent="0.2">
      <c r="A491" s="9">
        <v>45989</v>
      </c>
      <c r="B491" s="1">
        <v>3.6177016539002</v>
      </c>
      <c r="C491" s="1">
        <v>4.5335487571513102</v>
      </c>
      <c r="D491" s="1">
        <v>5.3160858615506896</v>
      </c>
      <c r="E491" s="13">
        <f t="shared" si="21"/>
        <v>169.83842076504897</v>
      </c>
      <c r="F491" s="13">
        <f t="shared" si="22"/>
        <v>-0.58736648433304595</v>
      </c>
      <c r="G491" s="13">
        <f t="shared" si="23"/>
        <v>-0.75578414327397425</v>
      </c>
    </row>
    <row r="492" spans="1:7" x14ac:dyDescent="0.2">
      <c r="A492" s="9">
        <v>45992</v>
      </c>
      <c r="B492" s="1">
        <v>3.6219920992923602</v>
      </c>
      <c r="C492" s="1">
        <v>4.5652774620995196</v>
      </c>
      <c r="D492" s="1">
        <v>5.3716680812112996</v>
      </c>
      <c r="E492" s="13">
        <f t="shared" si="21"/>
        <v>174.96759819189393</v>
      </c>
      <c r="F492" s="13">
        <f t="shared" si="22"/>
        <v>5.1291774268449615</v>
      </c>
      <c r="G492" s="13">
        <f t="shared" si="23"/>
        <v>3.1728704948209341</v>
      </c>
    </row>
    <row r="493" spans="1:7" x14ac:dyDescent="0.2">
      <c r="A493" s="9">
        <v>45993</v>
      </c>
      <c r="B493" s="1">
        <v>3.6177377726986699</v>
      </c>
      <c r="C493" s="1">
        <v>4.5687184236013696</v>
      </c>
      <c r="D493" s="1">
        <v>5.3732559988677204</v>
      </c>
      <c r="E493" s="13">
        <f t="shared" si="21"/>
        <v>175.55182261690504</v>
      </c>
      <c r="F493" s="13">
        <f t="shared" si="22"/>
        <v>0.58422442501111504</v>
      </c>
      <c r="G493" s="13">
        <f t="shared" si="23"/>
        <v>0.34409615018500261</v>
      </c>
    </row>
    <row r="494" spans="1:7" x14ac:dyDescent="0.2">
      <c r="A494" s="9">
        <v>45994</v>
      </c>
      <c r="B494" s="1">
        <v>3.6078123360168899</v>
      </c>
      <c r="C494" s="1">
        <v>4.5227619446297398</v>
      </c>
      <c r="D494" s="1">
        <v>5.3043129818550199</v>
      </c>
      <c r="E494" s="13">
        <f t="shared" si="21"/>
        <v>169.65006458381299</v>
      </c>
      <c r="F494" s="13">
        <f t="shared" si="22"/>
        <v>-5.9017580330920509</v>
      </c>
      <c r="G494" s="13">
        <f t="shared" si="23"/>
        <v>-4.5956478971629799</v>
      </c>
    </row>
    <row r="495" spans="1:7" x14ac:dyDescent="0.2">
      <c r="A495" s="9">
        <v>45995</v>
      </c>
      <c r="B495" s="1">
        <v>3.59717638603597</v>
      </c>
      <c r="C495" s="1">
        <v>4.5161144366163004</v>
      </c>
      <c r="D495" s="1">
        <v>5.2605483860634603</v>
      </c>
      <c r="E495" s="13">
        <f t="shared" si="21"/>
        <v>166.33720000274903</v>
      </c>
      <c r="F495" s="13">
        <f t="shared" si="22"/>
        <v>-3.3128645810639625</v>
      </c>
      <c r="G495" s="13">
        <f t="shared" si="23"/>
        <v>-0.66475080134393849</v>
      </c>
    </row>
    <row r="496" spans="1:7" x14ac:dyDescent="0.2">
      <c r="A496" s="9">
        <v>45996</v>
      </c>
      <c r="B496" s="1">
        <v>3.6438308672724098</v>
      </c>
      <c r="C496" s="1">
        <v>4.55707902867859</v>
      </c>
      <c r="D496" s="1">
        <v>5.2978730844299902</v>
      </c>
      <c r="E496" s="13">
        <f t="shared" si="21"/>
        <v>165.40422171575804</v>
      </c>
      <c r="F496" s="13">
        <f t="shared" si="22"/>
        <v>-0.93297828699098773</v>
      </c>
      <c r="G496" s="13">
        <f t="shared" si="23"/>
        <v>4.096459206228964</v>
      </c>
    </row>
    <row r="497" spans="1:7" x14ac:dyDescent="0.2">
      <c r="A497" s="9">
        <v>45999</v>
      </c>
      <c r="B497" s="1">
        <v>3.7037074967510502</v>
      </c>
      <c r="C497" s="1">
        <v>4.6227702303225504</v>
      </c>
      <c r="D497" s="1">
        <v>5.3320718760549699</v>
      </c>
      <c r="E497" s="13">
        <f t="shared" si="21"/>
        <v>162.83643793039198</v>
      </c>
      <c r="F497" s="13">
        <f t="shared" si="22"/>
        <v>-2.5677837853660606</v>
      </c>
      <c r="G497" s="13">
        <f t="shared" si="23"/>
        <v>6.5691201643960362</v>
      </c>
    </row>
    <row r="498" spans="1:7" x14ac:dyDescent="0.2">
      <c r="A498" s="9">
        <v>46000</v>
      </c>
      <c r="B498" s="1">
        <v>3.6802885634613198</v>
      </c>
      <c r="C498" s="1">
        <v>4.5910383717969401</v>
      </c>
      <c r="D498" s="1">
        <v>5.2940929043406397</v>
      </c>
      <c r="E498" s="13">
        <f t="shared" si="21"/>
        <v>161.380434087932</v>
      </c>
      <c r="F498" s="13">
        <f t="shared" si="22"/>
        <v>-1.4560038424599782</v>
      </c>
      <c r="G498" s="13">
        <f t="shared" si="23"/>
        <v>-3.1731858525610335</v>
      </c>
    </row>
    <row r="499" spans="1:7" x14ac:dyDescent="0.2">
      <c r="A499" s="9">
        <v>46001</v>
      </c>
      <c r="B499" s="1">
        <v>3.69171183393712</v>
      </c>
      <c r="C499" s="1">
        <v>4.5947863053375197</v>
      </c>
      <c r="D499" s="1">
        <v>5.3156958288979297</v>
      </c>
      <c r="E499" s="13">
        <f t="shared" si="21"/>
        <v>162.39839949608097</v>
      </c>
      <c r="F499" s="13">
        <f t="shared" si="22"/>
        <v>1.0179654081489673</v>
      </c>
      <c r="G499" s="13">
        <f t="shared" si="23"/>
        <v>0.37479335405796732</v>
      </c>
    </row>
    <row r="500" spans="1:7" x14ac:dyDescent="0.2">
      <c r="A500" s="9">
        <v>46002</v>
      </c>
      <c r="B500" s="1">
        <v>3.66369105098196</v>
      </c>
      <c r="C500" s="1">
        <v>4.55675523664772</v>
      </c>
      <c r="D500" s="1">
        <v>5.3152306529586903</v>
      </c>
      <c r="E500" s="13">
        <f t="shared" si="21"/>
        <v>165.15396019767303</v>
      </c>
      <c r="F500" s="13">
        <f t="shared" si="22"/>
        <v>2.75556070159206</v>
      </c>
      <c r="G500" s="13">
        <f t="shared" si="23"/>
        <v>-3.8031068689799774</v>
      </c>
    </row>
    <row r="501" spans="1:7" x14ac:dyDescent="0.2">
      <c r="A501" s="9">
        <v>46003</v>
      </c>
      <c r="B501" s="1">
        <v>3.6542616335962399</v>
      </c>
      <c r="C501" s="1">
        <v>4.6003945378553599</v>
      </c>
      <c r="D501" s="1">
        <v>5.3934813144383096</v>
      </c>
      <c r="E501" s="13">
        <f t="shared" si="21"/>
        <v>173.92196808420698</v>
      </c>
      <c r="F501" s="13">
        <f t="shared" si="22"/>
        <v>8.768007886533951</v>
      </c>
      <c r="G501" s="13">
        <f t="shared" si="23"/>
        <v>4.3639301207639924</v>
      </c>
    </row>
    <row r="502" spans="1:7" x14ac:dyDescent="0.2">
      <c r="A502" s="9">
        <v>46006</v>
      </c>
      <c r="B502" s="1">
        <v>3.6449467238960498</v>
      </c>
      <c r="C502" s="1">
        <v>4.5715284515914796</v>
      </c>
      <c r="D502" s="1">
        <v>5.3528494986986601</v>
      </c>
      <c r="E502" s="13">
        <f t="shared" si="21"/>
        <v>170.79027748026104</v>
      </c>
      <c r="F502" s="13">
        <f t="shared" si="22"/>
        <v>-3.1316906039459411</v>
      </c>
      <c r="G502" s="13">
        <f t="shared" si="23"/>
        <v>-2.886608626388032</v>
      </c>
    </row>
    <row r="503" spans="1:7" x14ac:dyDescent="0.2">
      <c r="A503" s="9">
        <v>46007</v>
      </c>
      <c r="B503" s="1">
        <v>3.6692136999635201</v>
      </c>
      <c r="C503" s="1">
        <v>4.5994363961527496</v>
      </c>
      <c r="D503" s="1">
        <v>5.3751245496687501</v>
      </c>
      <c r="E503" s="13">
        <f t="shared" si="21"/>
        <v>170.59108497052301</v>
      </c>
      <c r="F503" s="13">
        <f t="shared" si="22"/>
        <v>-0.19919250973802605</v>
      </c>
      <c r="G503" s="13">
        <f t="shared" si="23"/>
        <v>2.7907944561269993</v>
      </c>
    </row>
    <row r="504" spans="1:7" x14ac:dyDescent="0.2">
      <c r="A504" s="9">
        <v>46008</v>
      </c>
      <c r="B504" s="1">
        <v>3.6168605921182402</v>
      </c>
      <c r="C504" s="1">
        <v>4.5527043855911602</v>
      </c>
      <c r="D504" s="1">
        <v>5.3326927844894101</v>
      </c>
      <c r="E504" s="13">
        <f t="shared" si="21"/>
        <v>171.58321923711699</v>
      </c>
      <c r="F504" s="13">
        <f t="shared" si="22"/>
        <v>0.99213426659397896</v>
      </c>
      <c r="G504" s="13">
        <f t="shared" si="23"/>
        <v>-4.6732010561589377</v>
      </c>
    </row>
    <row r="505" spans="1:7" x14ac:dyDescent="0.2">
      <c r="A505" s="9">
        <v>46009</v>
      </c>
      <c r="B505" s="1">
        <v>3.6501604642021999</v>
      </c>
      <c r="C505" s="1">
        <v>4.5593472964212003</v>
      </c>
      <c r="D505" s="1">
        <v>5.3115326507893403</v>
      </c>
      <c r="E505" s="13">
        <f t="shared" si="21"/>
        <v>166.13721865871406</v>
      </c>
      <c r="F505" s="13">
        <f t="shared" si="22"/>
        <v>-5.4460005784029306</v>
      </c>
      <c r="G505" s="13">
        <f t="shared" si="23"/>
        <v>0.66429108300400941</v>
      </c>
    </row>
    <row r="506" spans="1:7" x14ac:dyDescent="0.2">
      <c r="A506" s="9">
        <v>46010</v>
      </c>
      <c r="B506" s="1">
        <v>3.6672704744627498</v>
      </c>
      <c r="C506" s="1">
        <v>4.6022596525603703</v>
      </c>
      <c r="D506" s="1">
        <v>5.3581057640899301</v>
      </c>
      <c r="E506" s="13">
        <f t="shared" si="21"/>
        <v>169.08352896271802</v>
      </c>
      <c r="F506" s="13">
        <f t="shared" si="22"/>
        <v>2.9463103040039584</v>
      </c>
      <c r="G506" s="13">
        <f t="shared" si="23"/>
        <v>4.2912356139169994</v>
      </c>
    </row>
    <row r="507" spans="1:7" x14ac:dyDescent="0.2">
      <c r="A507" s="9">
        <v>46013</v>
      </c>
      <c r="B507" s="1">
        <v>3.6702497767296798</v>
      </c>
      <c r="C507" s="1">
        <v>4.6240953042139603</v>
      </c>
      <c r="D507" s="1">
        <v>5.3801123929993597</v>
      </c>
      <c r="E507" s="13">
        <f t="shared" si="21"/>
        <v>170.986261626968</v>
      </c>
      <c r="F507" s="13">
        <f t="shared" si="22"/>
        <v>1.9027326642499816</v>
      </c>
      <c r="G507" s="13">
        <f t="shared" si="23"/>
        <v>2.1835651653590027</v>
      </c>
    </row>
    <row r="508" spans="1:7" x14ac:dyDescent="0.2">
      <c r="A508" s="9">
        <v>46014</v>
      </c>
      <c r="B508" s="1">
        <v>3.6650342886899501</v>
      </c>
      <c r="C508" s="1">
        <v>4.5939046265962196</v>
      </c>
      <c r="D508" s="1">
        <v>5.3455820564375598</v>
      </c>
      <c r="E508" s="13">
        <f t="shared" si="21"/>
        <v>168.05477677476097</v>
      </c>
      <c r="F508" s="13">
        <f t="shared" si="22"/>
        <v>-2.9314848522070349</v>
      </c>
      <c r="G508" s="13">
        <f t="shared" si="23"/>
        <v>-3.0190677617740747</v>
      </c>
    </row>
    <row r="509" spans="1:7" x14ac:dyDescent="0.2">
      <c r="A509" s="9">
        <v>46015</v>
      </c>
      <c r="B509" s="1">
        <v>3.6715589775559399</v>
      </c>
      <c r="C509" s="1">
        <v>4.5995782224989297</v>
      </c>
      <c r="D509" s="1">
        <v>5.3452324979225896</v>
      </c>
      <c r="E509" s="13">
        <f t="shared" si="21"/>
        <v>167.36735203666498</v>
      </c>
      <c r="F509" s="13">
        <f t="shared" si="22"/>
        <v>-0.68742473809598437</v>
      </c>
      <c r="G509" s="13">
        <f t="shared" si="23"/>
        <v>0.56735959027101046</v>
      </c>
    </row>
    <row r="510" spans="1:7" x14ac:dyDescent="0.2">
      <c r="A510" s="9">
        <v>46020</v>
      </c>
      <c r="B510" s="1">
        <v>3.6476152232516501</v>
      </c>
      <c r="C510" s="1">
        <v>4.5751215690121496</v>
      </c>
      <c r="D510" s="1">
        <v>5.31967632950313</v>
      </c>
      <c r="E510" s="13">
        <f t="shared" si="21"/>
        <v>167.20611062514797</v>
      </c>
      <c r="F510" s="13">
        <f t="shared" si="22"/>
        <v>-0.1612414115170111</v>
      </c>
      <c r="G510" s="13">
        <f t="shared" si="23"/>
        <v>-2.4456653486780056</v>
      </c>
    </row>
    <row r="511" spans="1:7" x14ac:dyDescent="0.2">
      <c r="A511" s="9">
        <v>46021</v>
      </c>
      <c r="B511" s="1">
        <v>3.6459747801345799</v>
      </c>
      <c r="C511" s="1">
        <v>4.5838201027271301</v>
      </c>
      <c r="D511" s="1">
        <v>5.32637193522008</v>
      </c>
      <c r="E511" s="13">
        <f t="shared" si="21"/>
        <v>168.03971550855002</v>
      </c>
      <c r="F511" s="13">
        <f t="shared" si="22"/>
        <v>0.83360488340204597</v>
      </c>
      <c r="G511" s="13">
        <f t="shared" si="23"/>
        <v>0.86985337149805275</v>
      </c>
    </row>
    <row r="512" spans="1:7" x14ac:dyDescent="0.2">
      <c r="A512" s="9">
        <v>46022</v>
      </c>
      <c r="B512" s="1">
        <v>3.63252597532319</v>
      </c>
      <c r="C512" s="1">
        <v>4.5715602580238599</v>
      </c>
      <c r="D512" s="1">
        <v>5.3130409537748999</v>
      </c>
      <c r="E512" s="13">
        <f t="shared" si="21"/>
        <v>168.05149784517099</v>
      </c>
      <c r="F512" s="13">
        <f t="shared" si="22"/>
        <v>1.1782336620967726E-2</v>
      </c>
      <c r="G512" s="13">
        <f t="shared" si="23"/>
        <v>-1.225984470327024</v>
      </c>
    </row>
    <row r="513" spans="1:7" x14ac:dyDescent="0.2">
      <c r="A513" s="9">
        <v>46024</v>
      </c>
      <c r="B513" s="1">
        <v>3.6536316772290398</v>
      </c>
      <c r="C513" s="1">
        <v>4.6264845425494396</v>
      </c>
      <c r="D513" s="1">
        <v>5.3787273542176299</v>
      </c>
      <c r="E513" s="13">
        <f t="shared" si="21"/>
        <v>172.509567698859</v>
      </c>
      <c r="F513" s="13">
        <f t="shared" si="22"/>
        <v>4.4580698536880163</v>
      </c>
      <c r="G513" s="13">
        <f t="shared" si="23"/>
        <v>5.4924284525579736</v>
      </c>
    </row>
    <row r="514" spans="1:7" x14ac:dyDescent="0.2">
      <c r="A514" s="9">
        <v>46027</v>
      </c>
      <c r="B514" s="1">
        <v>3.6372208365204699</v>
      </c>
      <c r="C514" s="1">
        <v>4.6033283470622797</v>
      </c>
      <c r="D514" s="1">
        <v>5.3606360898796801</v>
      </c>
      <c r="E514" s="13">
        <f t="shared" si="21"/>
        <v>172.34152533592101</v>
      </c>
      <c r="F514" s="13">
        <f t="shared" si="22"/>
        <v>-0.1680423629379959</v>
      </c>
      <c r="G514" s="13">
        <f t="shared" si="23"/>
        <v>-2.315619548715997</v>
      </c>
    </row>
    <row r="515" spans="1:7" x14ac:dyDescent="0.2">
      <c r="A515" s="9">
        <v>46028</v>
      </c>
      <c r="B515" s="1">
        <v>3.61644074399655</v>
      </c>
      <c r="C515" s="1">
        <v>4.5811148539737401</v>
      </c>
      <c r="D515" s="1">
        <v>5.3448560941112797</v>
      </c>
      <c r="E515" s="13">
        <f t="shared" si="21"/>
        <v>172.84153501147296</v>
      </c>
      <c r="F515" s="13">
        <f t="shared" si="22"/>
        <v>0.50000967555195075</v>
      </c>
      <c r="G515" s="13">
        <f t="shared" si="23"/>
        <v>-2.2213493088539593</v>
      </c>
    </row>
    <row r="516" spans="1:7" x14ac:dyDescent="0.2">
      <c r="A516" s="9">
        <v>46029</v>
      </c>
      <c r="B516" s="1">
        <v>3.5763630227601699</v>
      </c>
      <c r="C516" s="1">
        <v>4.5104403176399099</v>
      </c>
      <c r="D516" s="1">
        <v>5.2651297664424703</v>
      </c>
      <c r="E516" s="13">
        <f t="shared" si="21"/>
        <v>168.87667436823003</v>
      </c>
      <c r="F516" s="13">
        <f t="shared" si="22"/>
        <v>-3.964860643242929</v>
      </c>
      <c r="G516" s="13">
        <f t="shared" si="23"/>
        <v>-7.067453633383014</v>
      </c>
    </row>
    <row r="517" spans="1:7" x14ac:dyDescent="0.2">
      <c r="A517" s="9">
        <v>46030</v>
      </c>
      <c r="B517" s="1">
        <v>3.5720721938698099</v>
      </c>
      <c r="C517" s="1">
        <v>4.5069514439441001</v>
      </c>
      <c r="D517" s="1">
        <v>5.2814002095073302</v>
      </c>
      <c r="E517" s="13">
        <f t="shared" si="21"/>
        <v>170.93280156375204</v>
      </c>
      <c r="F517" s="13">
        <f t="shared" si="22"/>
        <v>2.0561271955220093</v>
      </c>
      <c r="G517" s="13">
        <f t="shared" si="23"/>
        <v>-0.34888736958098576</v>
      </c>
    </row>
    <row r="518" spans="1:7" x14ac:dyDescent="0.2">
      <c r="A518" s="9">
        <v>46031</v>
      </c>
      <c r="B518" s="1">
        <v>3.5528615103933499</v>
      </c>
      <c r="C518" s="1">
        <v>4.4697340383305102</v>
      </c>
      <c r="D518" s="1">
        <v>5.2345025321598699</v>
      </c>
      <c r="E518" s="13">
        <f t="shared" si="21"/>
        <v>168.16410217665202</v>
      </c>
      <c r="F518" s="13">
        <f t="shared" si="22"/>
        <v>-2.7686993871000141</v>
      </c>
      <c r="G518" s="13">
        <f t="shared" si="23"/>
        <v>-3.7217405613589882</v>
      </c>
    </row>
    <row r="519" spans="1:7" x14ac:dyDescent="0.2">
      <c r="A519" s="9">
        <v>46034</v>
      </c>
      <c r="B519" s="1">
        <v>3.5638442444550198</v>
      </c>
      <c r="C519" s="1">
        <v>4.4649952507111896</v>
      </c>
      <c r="D519" s="1">
        <v>5.2222350071997301</v>
      </c>
      <c r="E519" s="13">
        <f t="shared" ref="E519:E582" si="24">(D519-B519)*100</f>
        <v>165.83907627447104</v>
      </c>
      <c r="F519" s="13">
        <f t="shared" si="22"/>
        <v>-2.3250259021809825</v>
      </c>
      <c r="G519" s="13">
        <f t="shared" si="23"/>
        <v>-0.47387876193205614</v>
      </c>
    </row>
    <row r="520" spans="1:7" x14ac:dyDescent="0.2">
      <c r="A520" s="9">
        <v>46035</v>
      </c>
      <c r="B520" s="1">
        <v>3.5640015882487401</v>
      </c>
      <c r="C520" s="1">
        <v>4.4838949114069404</v>
      </c>
      <c r="D520" s="1">
        <v>5.2459974653866697</v>
      </c>
      <c r="E520" s="13">
        <f t="shared" si="24"/>
        <v>168.19958771379297</v>
      </c>
      <c r="F520" s="13">
        <f t="shared" ref="F520:F583" si="25">E520-E519</f>
        <v>2.3605114393219253</v>
      </c>
      <c r="G520" s="13">
        <f t="shared" ref="G520:G583" si="26">(C520-C519)*100</f>
        <v>1.8899660695750775</v>
      </c>
    </row>
    <row r="521" spans="1:7" x14ac:dyDescent="0.2">
      <c r="A521" s="9">
        <v>46036</v>
      </c>
      <c r="B521" s="1">
        <v>3.5349307508297101</v>
      </c>
      <c r="C521" s="1">
        <v>4.44816675418115</v>
      </c>
      <c r="D521" s="1">
        <v>5.2285791810242204</v>
      </c>
      <c r="E521" s="13">
        <f t="shared" si="24"/>
        <v>169.36484301945103</v>
      </c>
      <c r="F521" s="13">
        <f t="shared" si="25"/>
        <v>1.1652553056580643</v>
      </c>
      <c r="G521" s="13">
        <f t="shared" si="26"/>
        <v>-3.5728157225790369</v>
      </c>
    </row>
    <row r="522" spans="1:7" x14ac:dyDescent="0.2">
      <c r="A522" s="9">
        <v>46037</v>
      </c>
      <c r="B522" s="1">
        <v>3.5756884851989699</v>
      </c>
      <c r="C522" s="1">
        <v>4.4734059761420202</v>
      </c>
      <c r="D522" s="1">
        <v>5.2331235582886597</v>
      </c>
      <c r="E522" s="13">
        <f t="shared" si="24"/>
        <v>165.74350730896899</v>
      </c>
      <c r="F522" s="13">
        <f t="shared" si="25"/>
        <v>-3.6213357104820432</v>
      </c>
      <c r="G522" s="13">
        <f t="shared" si="26"/>
        <v>2.523922196087014</v>
      </c>
    </row>
    <row r="523" spans="1:7" x14ac:dyDescent="0.2">
      <c r="A523" s="9">
        <v>46038</v>
      </c>
      <c r="B523" s="1">
        <v>3.5981234128706299</v>
      </c>
      <c r="C523" s="1">
        <v>4.5004184388003496</v>
      </c>
      <c r="D523" s="1">
        <v>5.2562937852481797</v>
      </c>
      <c r="E523" s="13">
        <f t="shared" si="24"/>
        <v>165.81703723775499</v>
      </c>
      <c r="F523" s="13">
        <f t="shared" si="25"/>
        <v>7.3529928786001619E-2</v>
      </c>
      <c r="G523" s="13">
        <f t="shared" si="26"/>
        <v>2.7012462658329461</v>
      </c>
    </row>
    <row r="524" spans="1:7" x14ac:dyDescent="0.2">
      <c r="A524" s="9">
        <v>46041</v>
      </c>
      <c r="B524" s="1">
        <v>3.58172822524782</v>
      </c>
      <c r="C524" s="1">
        <v>4.5017953952271501</v>
      </c>
      <c r="D524" s="1">
        <v>5.2752755226652699</v>
      </c>
      <c r="E524" s="13">
        <f t="shared" si="24"/>
        <v>169.35472974174499</v>
      </c>
      <c r="F524" s="13">
        <f t="shared" si="25"/>
        <v>3.5376925039900016</v>
      </c>
      <c r="G524" s="13">
        <f t="shared" si="26"/>
        <v>0.13769564268004686</v>
      </c>
    </row>
    <row r="525" spans="1:7" x14ac:dyDescent="0.2">
      <c r="A525" s="9">
        <v>46042</v>
      </c>
      <c r="B525" s="1">
        <v>3.5975784325819702</v>
      </c>
      <c r="C525" s="1">
        <v>4.5570136816675397</v>
      </c>
      <c r="D525" s="1">
        <v>5.3478135281728303</v>
      </c>
      <c r="E525" s="13">
        <f t="shared" si="24"/>
        <v>175.02350955908602</v>
      </c>
      <c r="F525" s="13">
        <f t="shared" si="25"/>
        <v>5.6687798173410329</v>
      </c>
      <c r="G525" s="13">
        <f t="shared" si="26"/>
        <v>5.5218286440389619</v>
      </c>
    </row>
    <row r="526" spans="1:7" x14ac:dyDescent="0.2">
      <c r="A526" s="9">
        <v>46043</v>
      </c>
      <c r="B526" s="1">
        <v>3.5906351916493899</v>
      </c>
      <c r="C526" s="1">
        <v>4.5437944902086498</v>
      </c>
      <c r="D526" s="1">
        <v>5.3194946466402504</v>
      </c>
      <c r="E526" s="13">
        <f t="shared" si="24"/>
        <v>172.88594549908603</v>
      </c>
      <c r="F526" s="13">
        <f t="shared" si="25"/>
        <v>-2.1375640599999883</v>
      </c>
      <c r="G526" s="13">
        <f t="shared" si="26"/>
        <v>-1.3219191458889945</v>
      </c>
    </row>
    <row r="527" spans="1:7" x14ac:dyDescent="0.2">
      <c r="A527" s="9">
        <v>46044</v>
      </c>
      <c r="B527" s="1">
        <v>3.59825296500467</v>
      </c>
      <c r="C527" s="1">
        <v>4.5770227015428402</v>
      </c>
      <c r="D527" s="1">
        <v>5.3540867279844297</v>
      </c>
      <c r="E527" s="13">
        <f t="shared" si="24"/>
        <v>175.58337629797597</v>
      </c>
      <c r="F527" s="13">
        <f t="shared" si="25"/>
        <v>2.6974307988899398</v>
      </c>
      <c r="G527" s="13">
        <f t="shared" si="26"/>
        <v>3.3228211334190405</v>
      </c>
    </row>
    <row r="528" spans="1:7" x14ac:dyDescent="0.2">
      <c r="A528" s="9">
        <v>46045</v>
      </c>
      <c r="B528" s="1">
        <v>3.6397893880713101</v>
      </c>
      <c r="C528" s="1">
        <v>4.5920952872964902</v>
      </c>
      <c r="D528" s="1">
        <v>5.3487948061522701</v>
      </c>
      <c r="E528" s="13">
        <f t="shared" si="24"/>
        <v>170.90054180809599</v>
      </c>
      <c r="F528" s="13">
        <f t="shared" si="25"/>
        <v>-4.6828344898799799</v>
      </c>
      <c r="G528" s="13">
        <f t="shared" si="26"/>
        <v>1.5072585753650003</v>
      </c>
    </row>
    <row r="529" spans="1:7" x14ac:dyDescent="0.2">
      <c r="A529" s="9">
        <v>46048</v>
      </c>
      <c r="B529" s="1">
        <v>3.6477791897026401</v>
      </c>
      <c r="C529" s="1">
        <v>4.5885257035346196</v>
      </c>
      <c r="D529" s="1">
        <v>5.3438826460344702</v>
      </c>
      <c r="E529" s="13">
        <f t="shared" si="24"/>
        <v>169.61034563318299</v>
      </c>
      <c r="F529" s="13">
        <f t="shared" si="25"/>
        <v>-1.2901961749130066</v>
      </c>
      <c r="G529" s="13">
        <f t="shared" si="26"/>
        <v>-0.35695837618705539</v>
      </c>
    </row>
    <row r="530" spans="1:7" x14ac:dyDescent="0.2">
      <c r="A530" s="9">
        <v>46049</v>
      </c>
      <c r="B530" s="1">
        <v>3.65601196192581</v>
      </c>
      <c r="C530" s="1">
        <v>4.6177896860748904</v>
      </c>
      <c r="D530" s="1">
        <v>5.3798167792183502</v>
      </c>
      <c r="E530" s="13">
        <f t="shared" si="24"/>
        <v>172.38048172925403</v>
      </c>
      <c r="F530" s="13">
        <f t="shared" si="25"/>
        <v>2.7701360960710417</v>
      </c>
      <c r="G530" s="13">
        <f t="shared" si="26"/>
        <v>2.9263982540270739</v>
      </c>
    </row>
    <row r="531" spans="1:7" x14ac:dyDescent="0.2">
      <c r="A531" s="9">
        <v>46050</v>
      </c>
      <c r="B531" s="1">
        <v>3.6588250282834398</v>
      </c>
      <c r="C531" s="1">
        <v>4.6377434211902999</v>
      </c>
      <c r="D531" s="1">
        <v>5.4088358399089396</v>
      </c>
      <c r="E531" s="13">
        <f t="shared" si="24"/>
        <v>175.00108116254998</v>
      </c>
      <c r="F531" s="13">
        <f t="shared" si="25"/>
        <v>2.6205994332959506</v>
      </c>
      <c r="G531" s="13">
        <f t="shared" si="26"/>
        <v>1.9953735115409543</v>
      </c>
    </row>
    <row r="532" spans="1:7" x14ac:dyDescent="0.2">
      <c r="A532" s="9">
        <v>46051</v>
      </c>
      <c r="B532" s="1">
        <v>3.6234329623362802</v>
      </c>
      <c r="C532" s="1">
        <v>4.6062085403489599</v>
      </c>
      <c r="D532" s="1">
        <v>5.3803851388785597</v>
      </c>
      <c r="E532" s="13">
        <f t="shared" si="24"/>
        <v>175.69521765422795</v>
      </c>
      <c r="F532" s="13">
        <f t="shared" si="25"/>
        <v>0.69413649167796621</v>
      </c>
      <c r="G532" s="13">
        <f t="shared" si="26"/>
        <v>-3.1534880841340041</v>
      </c>
    </row>
    <row r="533" spans="1:7" x14ac:dyDescent="0.2">
      <c r="A533" s="9">
        <v>46052</v>
      </c>
      <c r="B533" s="1">
        <v>3.6281963510005202</v>
      </c>
      <c r="C533" s="1">
        <v>4.6273911755955304</v>
      </c>
      <c r="D533" s="1">
        <v>5.4118934392526903</v>
      </c>
      <c r="E533" s="13">
        <f t="shared" si="24"/>
        <v>178.369708825217</v>
      </c>
      <c r="F533" s="13">
        <f t="shared" si="25"/>
        <v>2.6744911709890573</v>
      </c>
      <c r="G533" s="13">
        <f t="shared" si="26"/>
        <v>2.1182635246570491</v>
      </c>
    </row>
    <row r="534" spans="1:7" x14ac:dyDescent="0.2">
      <c r="A534" s="9">
        <v>46055</v>
      </c>
      <c r="B534" s="1">
        <v>3.6228669023878899</v>
      </c>
      <c r="C534" s="1">
        <v>4.6140422193984802</v>
      </c>
      <c r="D534" s="1">
        <v>5.39795965978516</v>
      </c>
      <c r="E534" s="13">
        <f t="shared" si="24"/>
        <v>177.509275739727</v>
      </c>
      <c r="F534" s="13">
        <f t="shared" si="25"/>
        <v>-0.8604330854900013</v>
      </c>
      <c r="G534" s="13">
        <f t="shared" si="26"/>
        <v>-1.3348956197050121</v>
      </c>
    </row>
    <row r="535" spans="1:7" x14ac:dyDescent="0.2">
      <c r="A535" s="9">
        <v>46056</v>
      </c>
      <c r="B535" s="1">
        <v>3.6300530920406202</v>
      </c>
      <c r="C535" s="1">
        <v>4.6177874269502697</v>
      </c>
      <c r="D535" s="1">
        <v>5.4106288077173597</v>
      </c>
      <c r="E535" s="13">
        <f t="shared" si="24"/>
        <v>178.05757156767393</v>
      </c>
      <c r="F535" s="13">
        <f t="shared" si="25"/>
        <v>0.5482958279469301</v>
      </c>
      <c r="G535" s="13">
        <f t="shared" si="26"/>
        <v>0.37452075517894201</v>
      </c>
    </row>
    <row r="536" spans="1:7" x14ac:dyDescent="0.2">
      <c r="A536" s="9">
        <v>46057</v>
      </c>
      <c r="B536" s="1">
        <v>3.6381401946001901</v>
      </c>
      <c r="C536" s="1">
        <v>4.64207354461852</v>
      </c>
      <c r="D536" s="1">
        <v>5.4501000812384097</v>
      </c>
      <c r="E536" s="13">
        <f t="shared" si="24"/>
        <v>181.19598866382196</v>
      </c>
      <c r="F536" s="13">
        <f t="shared" si="25"/>
        <v>3.1384170961480322</v>
      </c>
      <c r="G536" s="13">
        <f t="shared" si="26"/>
        <v>2.4286117668250284</v>
      </c>
    </row>
    <row r="537" spans="1:7" x14ac:dyDescent="0.2">
      <c r="A537" s="9">
        <v>46058</v>
      </c>
      <c r="B537" s="1">
        <v>3.5874021612967599</v>
      </c>
      <c r="C537" s="1">
        <v>4.6574105781634598</v>
      </c>
      <c r="D537" s="1">
        <v>5.5020928128694297</v>
      </c>
      <c r="E537" s="13">
        <f t="shared" si="24"/>
        <v>191.46906515726698</v>
      </c>
      <c r="F537" s="13">
        <f t="shared" si="25"/>
        <v>10.273076493445018</v>
      </c>
      <c r="G537" s="13">
        <f t="shared" si="26"/>
        <v>1.5337033544939871</v>
      </c>
    </row>
    <row r="538" spans="1:7" x14ac:dyDescent="0.2">
      <c r="A538" s="9">
        <v>46059</v>
      </c>
      <c r="B538" s="1">
        <v>3.5613478880160301</v>
      </c>
      <c r="C538" s="1">
        <v>4.6380654825935101</v>
      </c>
      <c r="D538" s="1">
        <v>5.4854591471392498</v>
      </c>
      <c r="E538" s="13">
        <f t="shared" si="24"/>
        <v>192.41112591232198</v>
      </c>
      <c r="F538" s="13">
        <f t="shared" si="25"/>
        <v>0.94206075505499598</v>
      </c>
      <c r="G538" s="13">
        <f t="shared" si="26"/>
        <v>-1.9345095569949677</v>
      </c>
    </row>
    <row r="539" spans="1:7" x14ac:dyDescent="0.2">
      <c r="A539" s="9">
        <v>46062</v>
      </c>
      <c r="B539" s="1">
        <v>3.5553884456613498</v>
      </c>
      <c r="C539" s="1">
        <v>4.6480187601787799</v>
      </c>
      <c r="D539" s="1">
        <v>5.4870662855634098</v>
      </c>
      <c r="E539" s="13">
        <f t="shared" si="24"/>
        <v>193.167783990206</v>
      </c>
      <c r="F539" s="13">
        <f t="shared" si="25"/>
        <v>0.75665807788402617</v>
      </c>
      <c r="G539" s="13">
        <f t="shared" si="26"/>
        <v>0.99532775852697597</v>
      </c>
    </row>
    <row r="540" spans="1:7" x14ac:dyDescent="0.2">
      <c r="A540" s="9">
        <v>46063</v>
      </c>
      <c r="B540" s="1">
        <v>3.5595222501689801</v>
      </c>
      <c r="C540" s="1">
        <v>4.6119325947948999</v>
      </c>
      <c r="D540" s="1">
        <v>5.4524747588228299</v>
      </c>
      <c r="E540" s="13">
        <f t="shared" si="24"/>
        <v>189.29525086538499</v>
      </c>
      <c r="F540" s="13">
        <f t="shared" si="25"/>
        <v>-3.8725331248210182</v>
      </c>
      <c r="G540" s="13">
        <f t="shared" si="26"/>
        <v>-3.6086165383879987</v>
      </c>
    </row>
    <row r="541" spans="1:7" x14ac:dyDescent="0.2">
      <c r="A541" s="9">
        <v>46064</v>
      </c>
      <c r="B541" s="1">
        <v>3.5589622732967499</v>
      </c>
      <c r="C541" s="1">
        <v>4.5991135299554502</v>
      </c>
      <c r="D541" s="1">
        <v>5.4311492620078203</v>
      </c>
      <c r="E541" s="13">
        <f t="shared" si="24"/>
        <v>187.21869887110705</v>
      </c>
      <c r="F541" s="13">
        <f t="shared" si="25"/>
        <v>-2.0765519942779349</v>
      </c>
      <c r="G541" s="13">
        <f t="shared" si="26"/>
        <v>-1.2819064839449723</v>
      </c>
    </row>
    <row r="542" spans="1:7" x14ac:dyDescent="0.2">
      <c r="A542" s="9">
        <v>46065</v>
      </c>
      <c r="B542" s="1">
        <v>3.5277497817752002</v>
      </c>
      <c r="C542" s="1">
        <v>4.5619561803300899</v>
      </c>
      <c r="D542" s="1">
        <v>5.3887941467937299</v>
      </c>
      <c r="E542" s="13">
        <f t="shared" si="24"/>
        <v>186.10443650185297</v>
      </c>
      <c r="F542" s="13">
        <f t="shared" si="25"/>
        <v>-1.1142623692540781</v>
      </c>
      <c r="G542" s="13">
        <f t="shared" si="26"/>
        <v>-3.7157349625360325</v>
      </c>
    </row>
    <row r="543" spans="1:7" x14ac:dyDescent="0.2">
      <c r="A543" s="9">
        <v>46066</v>
      </c>
      <c r="B543" s="1">
        <v>3.5044560882140501</v>
      </c>
      <c r="C543" s="1">
        <v>4.5221577327497098</v>
      </c>
      <c r="D543" s="1">
        <v>5.3471496009478496</v>
      </c>
      <c r="E543" s="13">
        <f t="shared" si="24"/>
        <v>184.26935127337995</v>
      </c>
      <c r="F543" s="13">
        <f t="shared" si="25"/>
        <v>-1.8350852284730195</v>
      </c>
      <c r="G543" s="13">
        <f t="shared" si="26"/>
        <v>-3.9798447580380092</v>
      </c>
    </row>
    <row r="544" spans="1:7" x14ac:dyDescent="0.2">
      <c r="A544" s="9">
        <v>46069</v>
      </c>
      <c r="B544" s="1">
        <v>3.5016826399258401</v>
      </c>
      <c r="C544" s="1">
        <v>4.5145350436504303</v>
      </c>
      <c r="D544" s="1">
        <v>5.33486801755729</v>
      </c>
      <c r="E544" s="13">
        <f t="shared" si="24"/>
        <v>183.318537763145</v>
      </c>
      <c r="F544" s="13">
        <f t="shared" si="25"/>
        <v>-0.95081351023495131</v>
      </c>
      <c r="G544" s="13">
        <f t="shared" si="26"/>
        <v>-0.76226890992794338</v>
      </c>
    </row>
    <row r="545" spans="1:7" x14ac:dyDescent="0.2">
      <c r="A545" s="9">
        <v>46070</v>
      </c>
      <c r="B545" s="1">
        <v>3.49404397957443</v>
      </c>
      <c r="C545" s="1">
        <v>4.4892862486191403</v>
      </c>
      <c r="D545" s="1">
        <v>5.30611168954115</v>
      </c>
      <c r="E545" s="13">
        <f t="shared" si="24"/>
        <v>181.20677099667199</v>
      </c>
      <c r="F545" s="13">
        <f t="shared" si="25"/>
        <v>-2.1117667664730106</v>
      </c>
      <c r="G545" s="13">
        <f t="shared" si="26"/>
        <v>-2.5248795031290072</v>
      </c>
    </row>
    <row r="546" spans="1:7" x14ac:dyDescent="0.2">
      <c r="A546" s="9">
        <v>46071</v>
      </c>
      <c r="B546" s="1">
        <v>3.4965222483260998</v>
      </c>
      <c r="C546" s="1">
        <v>4.4891078190503402</v>
      </c>
      <c r="D546" s="1">
        <v>5.2992038644680903</v>
      </c>
      <c r="E546" s="13">
        <f t="shared" si="24"/>
        <v>180.26816161419904</v>
      </c>
      <c r="F546" s="13">
        <f t="shared" si="25"/>
        <v>-0.93860938247294712</v>
      </c>
      <c r="G546" s="13">
        <f t="shared" si="26"/>
        <v>-1.7842956880009808E-2</v>
      </c>
    </row>
    <row r="547" spans="1:7" x14ac:dyDescent="0.2">
      <c r="A547" s="9">
        <v>46072</v>
      </c>
      <c r="B547" s="1">
        <v>3.4841849784390901</v>
      </c>
      <c r="C547" s="1">
        <v>4.4885380514612301</v>
      </c>
      <c r="D547" s="1">
        <v>5.3083816134646096</v>
      </c>
      <c r="E547" s="13">
        <f t="shared" si="24"/>
        <v>182.41966350255194</v>
      </c>
      <c r="F547" s="13">
        <f t="shared" si="25"/>
        <v>2.1515018883528967</v>
      </c>
      <c r="G547" s="13">
        <f t="shared" si="26"/>
        <v>-5.6976758911009284E-2</v>
      </c>
    </row>
    <row r="548" spans="1:7" x14ac:dyDescent="0.2">
      <c r="A548" s="9">
        <v>46073</v>
      </c>
      <c r="B548" s="1">
        <v>3.48491944800901</v>
      </c>
      <c r="C548" s="1">
        <v>4.4673160974711204</v>
      </c>
      <c r="D548" s="1">
        <v>5.28530228685936</v>
      </c>
      <c r="E548" s="13">
        <f t="shared" si="24"/>
        <v>180.03828388503501</v>
      </c>
      <c r="F548" s="13">
        <f t="shared" si="25"/>
        <v>-2.3813796175169273</v>
      </c>
      <c r="G548" s="13">
        <f t="shared" si="26"/>
        <v>-2.1221953990109732</v>
      </c>
    </row>
    <row r="549" spans="1:7" x14ac:dyDescent="0.2">
      <c r="A549" s="9">
        <v>46076</v>
      </c>
      <c r="B549" s="1">
        <v>3.4680398860724502</v>
      </c>
      <c r="C549" s="1">
        <v>4.42863005316247</v>
      </c>
      <c r="D549" s="1">
        <v>5.2476214021329</v>
      </c>
      <c r="E549" s="13">
        <f t="shared" si="24"/>
        <v>177.95815160604496</v>
      </c>
      <c r="F549" s="13">
        <f t="shared" si="25"/>
        <v>-2.0801322789900496</v>
      </c>
      <c r="G549" s="13">
        <f t="shared" si="26"/>
        <v>-3.8686044308650303</v>
      </c>
    </row>
    <row r="550" spans="1:7" x14ac:dyDescent="0.2">
      <c r="A550" s="9">
        <v>46077</v>
      </c>
      <c r="B550" s="1">
        <v>3.4802764210625399</v>
      </c>
      <c r="C550" s="1">
        <v>4.4233074123341396</v>
      </c>
      <c r="D550" s="1">
        <v>5.2464328611350703</v>
      </c>
      <c r="E550" s="13">
        <f t="shared" si="24"/>
        <v>176.61564400725305</v>
      </c>
      <c r="F550" s="13">
        <f t="shared" si="25"/>
        <v>-1.3425075987919115</v>
      </c>
      <c r="G550" s="13">
        <f t="shared" si="26"/>
        <v>-0.53226408283304494</v>
      </c>
    </row>
    <row r="551" spans="1:7" x14ac:dyDescent="0.2">
      <c r="A551" s="9">
        <v>46078</v>
      </c>
      <c r="B551" s="1">
        <v>3.4863973739130998</v>
      </c>
      <c r="C551" s="1">
        <v>4.4290977578365203</v>
      </c>
      <c r="D551" s="1">
        <v>5.2684006022938004</v>
      </c>
      <c r="E551" s="13">
        <f t="shared" si="24"/>
        <v>178.20032283807006</v>
      </c>
      <c r="F551" s="13">
        <f t="shared" si="25"/>
        <v>1.5846788308170119</v>
      </c>
      <c r="G551" s="13">
        <f t="shared" si="26"/>
        <v>0.57903455023806671</v>
      </c>
    </row>
    <row r="552" spans="1:7" x14ac:dyDescent="0.2">
      <c r="A552" s="9">
        <v>46079</v>
      </c>
      <c r="B552" s="1">
        <v>3.45773318935837</v>
      </c>
      <c r="C552" s="1">
        <v>4.3958015543573801</v>
      </c>
      <c r="D552" s="1">
        <v>5.2227759592152401</v>
      </c>
      <c r="E552" s="13">
        <f t="shared" si="24"/>
        <v>176.504276985687</v>
      </c>
      <c r="F552" s="13">
        <f t="shared" si="25"/>
        <v>-1.6960458523830653</v>
      </c>
      <c r="G552" s="13">
        <f t="shared" si="26"/>
        <v>-3.3296203479140196</v>
      </c>
    </row>
    <row r="553" spans="1:7" x14ac:dyDescent="0.2">
      <c r="A553" s="9">
        <v>46080</v>
      </c>
      <c r="B553" s="1">
        <v>3.4236887691673301</v>
      </c>
      <c r="C553" s="1">
        <v>4.3519306091959304</v>
      </c>
      <c r="D553" s="1">
        <v>5.1786990390816898</v>
      </c>
      <c r="E553" s="13">
        <f t="shared" si="24"/>
        <v>175.50102699143596</v>
      </c>
      <c r="F553" s="13">
        <f t="shared" si="25"/>
        <v>-1.0032499942510356</v>
      </c>
      <c r="G553" s="13">
        <f t="shared" si="26"/>
        <v>-4.3870945161449626</v>
      </c>
    </row>
    <row r="554" spans="1:7" x14ac:dyDescent="0.2">
      <c r="A554" s="9">
        <v>46083</v>
      </c>
      <c r="B554" s="1">
        <v>3.5280325179769498</v>
      </c>
      <c r="C554" s="1">
        <v>4.4124649858475502</v>
      </c>
      <c r="D554" s="1">
        <v>5.2339459563694</v>
      </c>
      <c r="E554" s="13">
        <f t="shared" si="24"/>
        <v>170.59134383924501</v>
      </c>
      <c r="F554" s="13">
        <f t="shared" si="25"/>
        <v>-4.9096831521909508</v>
      </c>
      <c r="G554" s="13">
        <f t="shared" si="26"/>
        <v>6.0534376651619759</v>
      </c>
    </row>
    <row r="555" spans="1:7" x14ac:dyDescent="0.2">
      <c r="A555" s="9">
        <v>46084</v>
      </c>
      <c r="B555" s="1">
        <v>3.66199780720539</v>
      </c>
      <c r="C555" s="1">
        <v>4.5553293976716898</v>
      </c>
      <c r="D555" s="1">
        <v>5.3669027547700301</v>
      </c>
      <c r="E555" s="13">
        <f t="shared" si="24"/>
        <v>170.49049475646402</v>
      </c>
      <c r="F555" s="13">
        <f t="shared" si="25"/>
        <v>-0.10084908278099647</v>
      </c>
      <c r="G555" s="13">
        <f t="shared" si="26"/>
        <v>14.286441182413956</v>
      </c>
    </row>
    <row r="556" spans="1:7" x14ac:dyDescent="0.2">
      <c r="A556" s="9">
        <v>46085</v>
      </c>
      <c r="B556" s="1">
        <v>3.5960401201697798</v>
      </c>
      <c r="C556" s="1">
        <v>4.4864669995190303</v>
      </c>
      <c r="D556" s="1">
        <v>5.3063459985816399</v>
      </c>
      <c r="E556" s="13">
        <f t="shared" si="24"/>
        <v>171.03058784118602</v>
      </c>
      <c r="F556" s="13">
        <f t="shared" si="25"/>
        <v>0.54009308472200246</v>
      </c>
      <c r="G556" s="13">
        <f t="shared" si="26"/>
        <v>-6.8862398152659487</v>
      </c>
    </row>
    <row r="557" spans="1:7" x14ac:dyDescent="0.2">
      <c r="A557" s="9">
        <v>46086</v>
      </c>
      <c r="B557" s="1">
        <v>3.6842866535265899</v>
      </c>
      <c r="C557" s="1">
        <v>4.5762120051547699</v>
      </c>
      <c r="D557" s="1">
        <v>5.3835812833972598</v>
      </c>
      <c r="E557" s="13">
        <f t="shared" si="24"/>
        <v>169.92946298706698</v>
      </c>
      <c r="F557" s="13">
        <f t="shared" si="25"/>
        <v>-1.1011248541190355</v>
      </c>
      <c r="G557" s="13">
        <f t="shared" si="26"/>
        <v>8.9745005635739616</v>
      </c>
    </row>
    <row r="558" spans="1:7" x14ac:dyDescent="0.2">
      <c r="A558" s="9">
        <v>46087</v>
      </c>
      <c r="B558" s="1">
        <v>3.7821340672711301</v>
      </c>
      <c r="C558" s="1">
        <v>4.7034094089173104</v>
      </c>
      <c r="D558" s="1">
        <v>5.4881789539528896</v>
      </c>
      <c r="E558" s="13">
        <f t="shared" si="24"/>
        <v>170.60448866817595</v>
      </c>
      <c r="F558" s="13">
        <f t="shared" si="25"/>
        <v>0.67502568110896277</v>
      </c>
      <c r="G558" s="13">
        <f t="shared" si="26"/>
        <v>12.719740376254052</v>
      </c>
    </row>
    <row r="559" spans="1:7" x14ac:dyDescent="0.2">
      <c r="A559" s="9">
        <v>46090</v>
      </c>
      <c r="B559" s="1">
        <v>3.8494143862027101</v>
      </c>
      <c r="C559" s="1">
        <v>4.6667535083544101</v>
      </c>
      <c r="D559" s="1">
        <v>5.4269837345172798</v>
      </c>
      <c r="E559" s="13">
        <f t="shared" si="24"/>
        <v>157.75693483145696</v>
      </c>
      <c r="F559" s="13">
        <f t="shared" si="25"/>
        <v>-12.847553836718987</v>
      </c>
      <c r="G559" s="13">
        <f t="shared" si="26"/>
        <v>-3.6655900562900356</v>
      </c>
    </row>
    <row r="560" spans="1:7" x14ac:dyDescent="0.2">
      <c r="A560" s="9">
        <v>46091</v>
      </c>
      <c r="B560" s="1">
        <v>3.74961885797646</v>
      </c>
      <c r="C560" s="1">
        <v>4.5966165730063402</v>
      </c>
      <c r="D560" s="1">
        <v>5.3781731929080703</v>
      </c>
      <c r="E560" s="13">
        <f t="shared" si="24"/>
        <v>162.85543349316103</v>
      </c>
      <c r="F560" s="13">
        <f t="shared" si="25"/>
        <v>5.0984986617040704</v>
      </c>
      <c r="G560" s="13">
        <f t="shared" si="26"/>
        <v>-7.0136935348069862</v>
      </c>
    </row>
    <row r="561" spans="1:7" x14ac:dyDescent="0.2">
      <c r="A561" s="9">
        <v>46092</v>
      </c>
      <c r="B561" s="1">
        <v>3.9017942600019002</v>
      </c>
      <c r="C561" s="1">
        <v>4.73413375372657</v>
      </c>
      <c r="D561" s="1">
        <v>5.4978645732185401</v>
      </c>
      <c r="E561" s="13">
        <f t="shared" si="24"/>
        <v>159.60703132166398</v>
      </c>
      <c r="F561" s="13">
        <f t="shared" si="25"/>
        <v>-3.2484021714970481</v>
      </c>
      <c r="G561" s="13">
        <f t="shared" si="26"/>
        <v>13.751718072022978</v>
      </c>
    </row>
    <row r="562" spans="1:7" x14ac:dyDescent="0.2">
      <c r="A562" s="9">
        <v>46093</v>
      </c>
      <c r="B562" s="1">
        <v>3.9679262636671799</v>
      </c>
      <c r="C562" s="1">
        <v>4.8162337909225599</v>
      </c>
      <c r="D562" s="1">
        <v>5.5927650063129501</v>
      </c>
      <c r="E562" s="13">
        <f t="shared" si="24"/>
        <v>162.48387426457703</v>
      </c>
      <c r="F562" s="13">
        <f t="shared" si="25"/>
        <v>2.8768429429130435</v>
      </c>
      <c r="G562" s="13">
        <f t="shared" si="26"/>
        <v>8.2100037195989906</v>
      </c>
    </row>
    <row r="563" spans="1:7" x14ac:dyDescent="0.2">
      <c r="A563" s="9">
        <v>46094</v>
      </c>
      <c r="B563" s="1">
        <v>3.9911725126287898</v>
      </c>
      <c r="C563" s="1">
        <v>4.85444318417112</v>
      </c>
      <c r="D563" s="1">
        <v>5.6219661813056199</v>
      </c>
      <c r="E563" s="13">
        <f t="shared" si="24"/>
        <v>163.07936686768301</v>
      </c>
      <c r="F563" s="13">
        <f t="shared" si="25"/>
        <v>0.59549260310598129</v>
      </c>
      <c r="G563" s="13">
        <f t="shared" si="26"/>
        <v>3.8209393248560097</v>
      </c>
    </row>
    <row r="564" spans="1:7" x14ac:dyDescent="0.2">
      <c r="A564" s="9">
        <v>46097</v>
      </c>
      <c r="B564" s="1">
        <v>3.9620176315675799</v>
      </c>
      <c r="C564" s="1">
        <v>4.7939025352409796</v>
      </c>
      <c r="D564" s="1">
        <v>5.5627315018864598</v>
      </c>
      <c r="E564" s="13">
        <f t="shared" si="24"/>
        <v>160.07138703188798</v>
      </c>
      <c r="F564" s="13">
        <f t="shared" si="25"/>
        <v>-3.0079798357950267</v>
      </c>
      <c r="G564" s="13">
        <f t="shared" si="26"/>
        <v>-6.0540648930140328</v>
      </c>
    </row>
    <row r="565" spans="1:7" x14ac:dyDescent="0.2">
      <c r="A565" s="9">
        <v>46098</v>
      </c>
      <c r="B565" s="1">
        <v>3.9235012695677298</v>
      </c>
      <c r="C565" s="1">
        <v>4.7352617149231699</v>
      </c>
      <c r="D565" s="1">
        <v>5.5098843493076597</v>
      </c>
      <c r="E565" s="13">
        <f t="shared" si="24"/>
        <v>158.63830797399299</v>
      </c>
      <c r="F565" s="13">
        <f t="shared" si="25"/>
        <v>-1.4330790578949859</v>
      </c>
      <c r="G565" s="13">
        <f t="shared" si="26"/>
        <v>-5.8640820317809705</v>
      </c>
    </row>
    <row r="566" spans="1:7" x14ac:dyDescent="0.2">
      <c r="A566" s="9">
        <v>46099</v>
      </c>
      <c r="B566" s="1">
        <v>3.99002107301922</v>
      </c>
      <c r="C566" s="1">
        <v>4.7849522352412599</v>
      </c>
      <c r="D566" s="1">
        <v>5.5516799021856604</v>
      </c>
      <c r="E566" s="13">
        <f t="shared" si="24"/>
        <v>156.16588291664405</v>
      </c>
      <c r="F566" s="13">
        <f t="shared" si="25"/>
        <v>-2.4724250573489428</v>
      </c>
      <c r="G566" s="13">
        <f t="shared" si="26"/>
        <v>4.9690520318089959</v>
      </c>
    </row>
    <row r="567" spans="1:7" x14ac:dyDescent="0.2">
      <c r="A567" s="9">
        <v>46100</v>
      </c>
      <c r="B567" s="1">
        <v>4.2732854831110103</v>
      </c>
      <c r="C567" s="1">
        <v>4.8547959708801898</v>
      </c>
      <c r="D567" s="1">
        <v>5.5232645521794801</v>
      </c>
      <c r="E567" s="13">
        <f t="shared" si="24"/>
        <v>124.99790690684698</v>
      </c>
      <c r="F567" s="13">
        <f t="shared" si="25"/>
        <v>-31.167976009797073</v>
      </c>
      <c r="G567" s="13">
        <f t="shared" si="26"/>
        <v>6.9843735638929871</v>
      </c>
    </row>
    <row r="568" spans="1:7" x14ac:dyDescent="0.2">
      <c r="A568" s="9">
        <v>46101</v>
      </c>
      <c r="B568" s="1">
        <v>4.4327548561902397</v>
      </c>
      <c r="C568" s="1">
        <v>4.9960347709969097</v>
      </c>
      <c r="D568" s="1">
        <v>5.6490982844554898</v>
      </c>
      <c r="E568" s="13">
        <f t="shared" si="24"/>
        <v>121.63434282652501</v>
      </c>
      <c r="F568" s="13">
        <f t="shared" si="25"/>
        <v>-3.3635640803219644</v>
      </c>
      <c r="G568" s="13">
        <f t="shared" si="26"/>
        <v>14.123880011671996</v>
      </c>
    </row>
    <row r="569" spans="1:7" x14ac:dyDescent="0.2">
      <c r="A569" s="9">
        <v>46104</v>
      </c>
      <c r="B569" s="1">
        <v>4.3068993004590101</v>
      </c>
      <c r="C569" s="1">
        <v>4.9505066876987103</v>
      </c>
      <c r="D569" s="1">
        <v>5.6400261998606203</v>
      </c>
      <c r="E569" s="13">
        <f t="shared" si="24"/>
        <v>133.31268994016102</v>
      </c>
      <c r="F569" s="13">
        <f t="shared" si="25"/>
        <v>11.678347113636008</v>
      </c>
      <c r="G569" s="13">
        <f t="shared" si="26"/>
        <v>-4.5528083298199462</v>
      </c>
    </row>
    <row r="570" spans="1:7" x14ac:dyDescent="0.2">
      <c r="A570" s="9">
        <v>46105</v>
      </c>
      <c r="B570" s="1">
        <v>4.3176949866743604</v>
      </c>
      <c r="C570" s="1">
        <v>4.9534340869821101</v>
      </c>
      <c r="D570" s="1">
        <v>5.6525904015698298</v>
      </c>
      <c r="E570" s="13">
        <f t="shared" si="24"/>
        <v>133.48954148954695</v>
      </c>
      <c r="F570" s="13">
        <f t="shared" si="25"/>
        <v>0.17685154938592973</v>
      </c>
      <c r="G570" s="13">
        <f t="shared" si="26"/>
        <v>0.29273992833998008</v>
      </c>
    </row>
    <row r="571" spans="1:7" x14ac:dyDescent="0.2">
      <c r="A571" s="9">
        <v>46106</v>
      </c>
      <c r="B571" s="1">
        <v>4.2666433311847003</v>
      </c>
      <c r="C571" s="1">
        <v>4.8473474594632702</v>
      </c>
      <c r="D571" s="1">
        <v>5.5272691044044304</v>
      </c>
      <c r="E571" s="13">
        <f t="shared" si="24"/>
        <v>126.06257732197301</v>
      </c>
      <c r="F571" s="13">
        <f t="shared" si="25"/>
        <v>-7.4269641675739422</v>
      </c>
      <c r="G571" s="13">
        <f t="shared" si="26"/>
        <v>-10.60866275188399</v>
      </c>
    </row>
    <row r="572" spans="1:7" x14ac:dyDescent="0.2">
      <c r="A572" s="9">
        <v>46107</v>
      </c>
      <c r="B572" s="1">
        <v>4.3663054416043003</v>
      </c>
      <c r="C572" s="1">
        <v>4.9661542575009996</v>
      </c>
      <c r="D572" s="1">
        <v>5.6482898437079001</v>
      </c>
      <c r="E572" s="13">
        <f t="shared" si="24"/>
        <v>128.19844021035999</v>
      </c>
      <c r="F572" s="13">
        <f t="shared" si="25"/>
        <v>2.1358628883869812</v>
      </c>
      <c r="G572" s="13">
        <f t="shared" si="26"/>
        <v>11.880679803772942</v>
      </c>
    </row>
    <row r="573" spans="1:7" x14ac:dyDescent="0.2">
      <c r="A573" s="9">
        <v>46108</v>
      </c>
      <c r="B573" s="1">
        <v>4.3574650636742902</v>
      </c>
      <c r="C573" s="1">
        <v>5.0097833123498399</v>
      </c>
      <c r="D573" s="1">
        <v>5.6925106997610504</v>
      </c>
      <c r="E573" s="13">
        <f t="shared" si="24"/>
        <v>133.50456360867602</v>
      </c>
      <c r="F573" s="13">
        <f t="shared" si="25"/>
        <v>5.3061233983160321</v>
      </c>
      <c r="G573" s="13">
        <f t="shared" si="26"/>
        <v>4.3629054848840276</v>
      </c>
    </row>
    <row r="574" spans="1:7" x14ac:dyDescent="0.2">
      <c r="A574" s="9">
        <v>46111</v>
      </c>
      <c r="B574" s="1">
        <v>4.31763679513874</v>
      </c>
      <c r="C574" s="1">
        <v>4.9578552346402596</v>
      </c>
      <c r="D574" s="1">
        <v>5.6440718219860599</v>
      </c>
      <c r="E574" s="13">
        <f t="shared" si="24"/>
        <v>132.643502684732</v>
      </c>
      <c r="F574" s="13">
        <f t="shared" si="25"/>
        <v>-0.86106092394402367</v>
      </c>
      <c r="G574" s="13">
        <f t="shared" si="26"/>
        <v>-5.19280777095803</v>
      </c>
    </row>
    <row r="575" spans="1:7" x14ac:dyDescent="0.2">
      <c r="A575" s="9">
        <v>46112</v>
      </c>
      <c r="B575" s="1">
        <v>4.2829739013270398</v>
      </c>
      <c r="C575" s="1">
        <v>4.94418940546778</v>
      </c>
      <c r="D575" s="1">
        <v>5.6333309448947597</v>
      </c>
      <c r="E575" s="13">
        <f t="shared" si="24"/>
        <v>135.03570435677199</v>
      </c>
      <c r="F575" s="13">
        <f t="shared" si="25"/>
        <v>2.3922016720399881</v>
      </c>
      <c r="G575" s="13">
        <f t="shared" si="26"/>
        <v>-1.3665829172479604</v>
      </c>
    </row>
    <row r="576" spans="1:7" x14ac:dyDescent="0.2">
      <c r="A576" s="9">
        <v>46113</v>
      </c>
      <c r="B576" s="1">
        <v>4.1760603445096702</v>
      </c>
      <c r="C576" s="1">
        <v>4.86566125566761</v>
      </c>
      <c r="D576" s="1">
        <v>5.5883669922216601</v>
      </c>
      <c r="E576" s="13">
        <f t="shared" si="24"/>
        <v>141.23066477119897</v>
      </c>
      <c r="F576" s="13">
        <f t="shared" si="25"/>
        <v>6.194960414426987</v>
      </c>
      <c r="G576" s="13">
        <f t="shared" si="26"/>
        <v>-7.8528149800169977</v>
      </c>
    </row>
    <row r="577" spans="1:7" x14ac:dyDescent="0.2">
      <c r="A577" s="9">
        <v>46114</v>
      </c>
      <c r="B577" s="1">
        <v>4.1952237030435402</v>
      </c>
      <c r="C577" s="1">
        <v>4.8598487051071304</v>
      </c>
      <c r="D577" s="1">
        <v>5.5783463191454201</v>
      </c>
      <c r="E577" s="13">
        <f t="shared" si="24"/>
        <v>138.31226161018799</v>
      </c>
      <c r="F577" s="13">
        <f t="shared" si="25"/>
        <v>-2.9184031610109855</v>
      </c>
      <c r="G577" s="13">
        <f t="shared" si="26"/>
        <v>-0.58125505604795791</v>
      </c>
    </row>
    <row r="578" spans="1:7" x14ac:dyDescent="0.2">
      <c r="A578" s="9">
        <v>46119</v>
      </c>
      <c r="B578" s="1">
        <v>4.3005846234794598</v>
      </c>
      <c r="C578" s="1">
        <v>4.9560563450383999</v>
      </c>
      <c r="D578" s="1">
        <v>5.6463381468713898</v>
      </c>
      <c r="E578" s="13">
        <f t="shared" si="24"/>
        <v>134.57535233919299</v>
      </c>
      <c r="F578" s="13">
        <f t="shared" si="25"/>
        <v>-3.7369092709949996</v>
      </c>
      <c r="G578" s="13">
        <f t="shared" si="26"/>
        <v>9.6207639931269462</v>
      </c>
    </row>
    <row r="579" spans="1:7" x14ac:dyDescent="0.2">
      <c r="A579" s="9">
        <v>46120</v>
      </c>
      <c r="B579" s="1">
        <v>4.0521703243049396</v>
      </c>
      <c r="C579" s="1">
        <v>4.7479942349419</v>
      </c>
      <c r="D579" s="1">
        <v>5.4765073597535698</v>
      </c>
      <c r="E579" s="13">
        <f t="shared" si="24"/>
        <v>142.43370354486302</v>
      </c>
      <c r="F579" s="13">
        <f t="shared" si="25"/>
        <v>7.8583512056700329</v>
      </c>
      <c r="G579" s="13">
        <f t="shared" si="26"/>
        <v>-20.806211009649989</v>
      </c>
    </row>
    <row r="580" spans="1:7" x14ac:dyDescent="0.2">
      <c r="A580" s="9">
        <v>46121</v>
      </c>
      <c r="B580" s="1">
        <v>4.1019225855300503</v>
      </c>
      <c r="C580" s="1">
        <v>4.8371528816812104</v>
      </c>
      <c r="D580" s="1">
        <v>5.5696038764856999</v>
      </c>
      <c r="E580" s="13">
        <f t="shared" si="24"/>
        <v>146.76812909556497</v>
      </c>
      <c r="F580" s="13">
        <f t="shared" si="25"/>
        <v>4.3344255507019511</v>
      </c>
      <c r="G580" s="13">
        <f t="shared" si="26"/>
        <v>8.9158646739310399</v>
      </c>
    </row>
    <row r="581" spans="1:7" x14ac:dyDescent="0.2">
      <c r="A581" s="9">
        <v>46122</v>
      </c>
      <c r="B581" s="1">
        <v>4.1084570204136703</v>
      </c>
      <c r="C581" s="1">
        <v>4.8492746116038896</v>
      </c>
      <c r="D581" s="1">
        <v>5.5995464218355204</v>
      </c>
      <c r="E581" s="13">
        <f t="shared" si="24"/>
        <v>149.10894014218502</v>
      </c>
      <c r="F581" s="13">
        <f t="shared" si="25"/>
        <v>2.3408110466200469</v>
      </c>
      <c r="G581" s="13">
        <f t="shared" si="26"/>
        <v>1.2121729922679236</v>
      </c>
    </row>
    <row r="582" spans="1:7" x14ac:dyDescent="0.2">
      <c r="A582" s="9">
        <v>46125</v>
      </c>
      <c r="B582" s="1">
        <v>4.1793641046235299</v>
      </c>
      <c r="C582" s="1">
        <v>4.90161121244165</v>
      </c>
      <c r="D582" s="1">
        <v>5.6376141493810499</v>
      </c>
      <c r="E582" s="13">
        <f t="shared" si="24"/>
        <v>145.825004475752</v>
      </c>
      <c r="F582" s="13">
        <f t="shared" si="25"/>
        <v>-3.2839356664330239</v>
      </c>
      <c r="G582" s="13">
        <f t="shared" si="26"/>
        <v>5.2336600837760372</v>
      </c>
    </row>
    <row r="583" spans="1:7" x14ac:dyDescent="0.2">
      <c r="A583" s="9">
        <v>46126</v>
      </c>
      <c r="B583" s="1">
        <v>4.0930796301475896</v>
      </c>
      <c r="C583" s="1">
        <v>4.8307312050405704</v>
      </c>
      <c r="D583" s="1">
        <v>5.5921331346125802</v>
      </c>
      <c r="E583" s="13">
        <f t="shared" ref="E583:E646" si="27">(D583-B583)*100</f>
        <v>149.90535044649906</v>
      </c>
      <c r="F583" s="13">
        <f t="shared" si="25"/>
        <v>4.0803459707470608</v>
      </c>
      <c r="G583" s="13">
        <f t="shared" si="26"/>
        <v>-7.0880007401079581</v>
      </c>
    </row>
    <row r="584" spans="1:7" x14ac:dyDescent="0.2">
      <c r="A584" s="9">
        <v>46127</v>
      </c>
      <c r="B584" s="1">
        <v>4.0880735177012202</v>
      </c>
      <c r="C584" s="1">
        <v>4.8348069276877501</v>
      </c>
      <c r="D584" s="1">
        <v>5.6034964656190196</v>
      </c>
      <c r="E584" s="13">
        <f t="shared" si="27"/>
        <v>151.54229479177994</v>
      </c>
      <c r="F584" s="13">
        <f t="shared" ref="F584:F647" si="28">E584-E583</f>
        <v>1.636944345280881</v>
      </c>
      <c r="G584" s="13">
        <f t="shared" ref="G584:G647" si="29">(C584-C583)*100</f>
        <v>0.40757226471797026</v>
      </c>
    </row>
    <row r="585" spans="1:7" x14ac:dyDescent="0.2">
      <c r="A585" s="9">
        <v>46128</v>
      </c>
      <c r="B585" s="1">
        <v>4.0963301229457398</v>
      </c>
      <c r="C585" s="1">
        <v>4.8872504102318102</v>
      </c>
      <c r="D585" s="1">
        <v>5.6923233417775601</v>
      </c>
      <c r="E585" s="13">
        <f t="shared" si="27"/>
        <v>159.59932188318203</v>
      </c>
      <c r="F585" s="13">
        <f t="shared" si="28"/>
        <v>8.0570270914020909</v>
      </c>
      <c r="G585" s="13">
        <f t="shared" si="29"/>
        <v>5.244348254406006</v>
      </c>
    </row>
    <row r="586" spans="1:7" x14ac:dyDescent="0.2">
      <c r="A586" s="9">
        <v>46129</v>
      </c>
      <c r="B586" s="1">
        <v>3.9935100362843601</v>
      </c>
      <c r="C586" s="1">
        <v>4.7975065601003903</v>
      </c>
      <c r="D586" s="1">
        <v>5.6237114417214897</v>
      </c>
      <c r="E586" s="13">
        <f t="shared" si="27"/>
        <v>163.02014054371296</v>
      </c>
      <c r="F586" s="13">
        <f t="shared" si="28"/>
        <v>3.4208186605309265</v>
      </c>
      <c r="G586" s="13">
        <f t="shared" si="29"/>
        <v>-8.9743850131419833</v>
      </c>
    </row>
    <row r="587" spans="1:7" x14ac:dyDescent="0.2">
      <c r="A587" s="9">
        <v>46132</v>
      </c>
      <c r="B587" s="1">
        <v>4.0657947121539504</v>
      </c>
      <c r="C587" s="1">
        <v>4.8840204950374497</v>
      </c>
      <c r="D587" s="1">
        <v>5.7175699102998196</v>
      </c>
      <c r="E587" s="13">
        <f t="shared" si="27"/>
        <v>165.17751981458693</v>
      </c>
      <c r="F587" s="13">
        <f t="shared" si="28"/>
        <v>2.1573792708739745</v>
      </c>
      <c r="G587" s="13">
        <f t="shared" si="29"/>
        <v>8.6513934937059389</v>
      </c>
    </row>
    <row r="588" spans="1:7" x14ac:dyDescent="0.2">
      <c r="A588" s="9">
        <v>46133</v>
      </c>
      <c r="B588" s="1">
        <v>4.1344387750489604</v>
      </c>
      <c r="C588" s="1">
        <v>4.9203099004505804</v>
      </c>
      <c r="D588" s="1">
        <v>5.7204463607156599</v>
      </c>
      <c r="E588" s="13">
        <f t="shared" si="27"/>
        <v>158.60075856666995</v>
      </c>
      <c r="F588" s="13">
        <f t="shared" si="28"/>
        <v>-6.576761247916977</v>
      </c>
      <c r="G588" s="13">
        <f t="shared" si="29"/>
        <v>3.6289405413130638</v>
      </c>
    </row>
    <row r="589" spans="1:7" x14ac:dyDescent="0.2">
      <c r="A589" s="9">
        <v>46134</v>
      </c>
      <c r="B589" s="1">
        <v>4.1960859969917603</v>
      </c>
      <c r="C589" s="1">
        <v>4.9279302359134398</v>
      </c>
      <c r="D589" s="1">
        <v>5.6794031709167703</v>
      </c>
      <c r="E589" s="13">
        <f t="shared" si="27"/>
        <v>148.33171739250099</v>
      </c>
      <c r="F589" s="13">
        <f t="shared" si="28"/>
        <v>-10.269041174168962</v>
      </c>
      <c r="G589" s="13">
        <f t="shared" si="29"/>
        <v>0.76203354628594511</v>
      </c>
    </row>
    <row r="590" spans="1:7" x14ac:dyDescent="0.2">
      <c r="A590" s="9">
        <v>46135</v>
      </c>
      <c r="B590" s="1">
        <v>4.2328637194178897</v>
      </c>
      <c r="C590" s="1">
        <v>4.9615630443273799</v>
      </c>
      <c r="D590" s="1">
        <v>5.7186828792832998</v>
      </c>
      <c r="E590" s="13">
        <f t="shared" si="27"/>
        <v>148.58191598654099</v>
      </c>
      <c r="F590" s="13">
        <f t="shared" si="28"/>
        <v>0.25019859404000044</v>
      </c>
      <c r="G590" s="13">
        <f t="shared" si="29"/>
        <v>3.3632808413940118</v>
      </c>
    </row>
    <row r="591" spans="1:7" x14ac:dyDescent="0.2">
      <c r="A591" s="9">
        <v>46136</v>
      </c>
      <c r="B591" s="1">
        <v>4.2505920776413602</v>
      </c>
      <c r="C591" s="1">
        <v>4.9673412320464196</v>
      </c>
      <c r="D591" s="1">
        <v>5.7181158067897098</v>
      </c>
      <c r="E591" s="13">
        <f t="shared" si="27"/>
        <v>146.75237291483495</v>
      </c>
      <c r="F591" s="13">
        <f t="shared" si="28"/>
        <v>-1.8295430717060412</v>
      </c>
      <c r="G591" s="13">
        <f t="shared" si="29"/>
        <v>0.57781877190397068</v>
      </c>
    </row>
    <row r="592" spans="1:7" x14ac:dyDescent="0.2">
      <c r="A592" s="9">
        <v>46139</v>
      </c>
      <c r="B592" s="1">
        <v>4.2734924141132602</v>
      </c>
      <c r="C592" s="1">
        <v>5.0142569311834002</v>
      </c>
      <c r="D592" s="1">
        <v>5.7872842561607296</v>
      </c>
      <c r="E592" s="13">
        <f t="shared" si="27"/>
        <v>151.37918420474693</v>
      </c>
      <c r="F592" s="13">
        <f t="shared" si="28"/>
        <v>4.6268112899119842</v>
      </c>
      <c r="G592" s="13">
        <f t="shared" si="29"/>
        <v>4.6915699136980571</v>
      </c>
    </row>
    <row r="593" spans="1:7" x14ac:dyDescent="0.2">
      <c r="A593" s="9">
        <v>46140</v>
      </c>
      <c r="B593" s="1">
        <v>4.3050606431630003</v>
      </c>
      <c r="C593" s="1">
        <v>5.0414267602149598</v>
      </c>
      <c r="D593" s="1">
        <v>5.8036354715695397</v>
      </c>
      <c r="E593" s="13">
        <f t="shared" si="27"/>
        <v>149.85748284065394</v>
      </c>
      <c r="F593" s="13">
        <f t="shared" si="28"/>
        <v>-1.5217013640929906</v>
      </c>
      <c r="G593" s="13">
        <f t="shared" si="29"/>
        <v>2.7169829031559622</v>
      </c>
    </row>
    <row r="594" spans="1:7" x14ac:dyDescent="0.2">
      <c r="A594" s="9">
        <v>46141</v>
      </c>
      <c r="B594" s="1">
        <v>4.40208856536848</v>
      </c>
      <c r="C594" s="1">
        <v>5.09294551127544</v>
      </c>
      <c r="D594" s="1">
        <v>5.8197055186099798</v>
      </c>
      <c r="E594" s="13">
        <f t="shared" si="27"/>
        <v>141.76169532414997</v>
      </c>
      <c r="F594" s="13">
        <f t="shared" si="28"/>
        <v>-8.0957875165039752</v>
      </c>
      <c r="G594" s="13">
        <f t="shared" si="29"/>
        <v>5.1518751060480206</v>
      </c>
    </row>
    <row r="595" spans="1:7" x14ac:dyDescent="0.2">
      <c r="A595" s="9">
        <v>46142</v>
      </c>
      <c r="B595" s="1">
        <v>4.3178408526483496</v>
      </c>
      <c r="C595" s="1">
        <v>5.0557082731068004</v>
      </c>
      <c r="D595" s="1">
        <v>5.8114799765348897</v>
      </c>
      <c r="E595" s="13">
        <f t="shared" si="27"/>
        <v>149.363912388654</v>
      </c>
      <c r="F595" s="13">
        <f t="shared" si="28"/>
        <v>7.6022170645040319</v>
      </c>
      <c r="G595" s="13">
        <f t="shared" si="29"/>
        <v>-3.7237238168639664</v>
      </c>
    </row>
    <row r="596" spans="1:7" x14ac:dyDescent="0.2">
      <c r="A596" s="9">
        <v>46143</v>
      </c>
      <c r="B596" s="1">
        <v>4.2948945464481598</v>
      </c>
      <c r="C596" s="1">
        <v>5.015668595308</v>
      </c>
      <c r="D596" s="1">
        <v>5.7661031227144601</v>
      </c>
      <c r="E596" s="13">
        <f t="shared" si="27"/>
        <v>147.12085762663003</v>
      </c>
      <c r="F596" s="13">
        <f t="shared" si="28"/>
        <v>-2.2430547620239736</v>
      </c>
      <c r="G596" s="13">
        <f t="shared" si="29"/>
        <v>-4.0039677798800355</v>
      </c>
    </row>
    <row r="597" spans="1:7" x14ac:dyDescent="0.2">
      <c r="A597" s="9">
        <v>46147</v>
      </c>
      <c r="B597" s="1">
        <v>4.3888361154400402</v>
      </c>
      <c r="C597" s="1">
        <v>5.1099383551919804</v>
      </c>
      <c r="D597" s="1">
        <v>5.8581866288298796</v>
      </c>
      <c r="E597" s="13">
        <f t="shared" si="27"/>
        <v>146.93505133898395</v>
      </c>
      <c r="F597" s="13">
        <f t="shared" si="28"/>
        <v>-0.18580628764607354</v>
      </c>
      <c r="G597" s="13">
        <f t="shared" si="29"/>
        <v>9.4269759883980342</v>
      </c>
    </row>
    <row r="598" spans="1:7" x14ac:dyDescent="0.2">
      <c r="A598" s="9">
        <v>46148</v>
      </c>
      <c r="B598" s="1">
        <v>4.2522651241987202</v>
      </c>
      <c r="C598" s="1">
        <v>4.98102756887954</v>
      </c>
      <c r="D598" s="1">
        <v>5.7400937040135904</v>
      </c>
      <c r="E598" s="13">
        <f t="shared" si="27"/>
        <v>148.78285798148704</v>
      </c>
      <c r="F598" s="13">
        <f t="shared" si="28"/>
        <v>1.8478066425030875</v>
      </c>
      <c r="G598" s="13">
        <f t="shared" si="29"/>
        <v>-12.891078631244035</v>
      </c>
    </row>
    <row r="599" spans="1:7" x14ac:dyDescent="0.2">
      <c r="A599" s="9">
        <v>46149</v>
      </c>
      <c r="B599" s="1">
        <v>4.2379116937979102</v>
      </c>
      <c r="C599" s="1">
        <v>4.9691236202688804</v>
      </c>
      <c r="D599" s="1">
        <v>5.7302154247960502</v>
      </c>
      <c r="E599" s="13">
        <f t="shared" si="27"/>
        <v>149.23037309981399</v>
      </c>
      <c r="F599" s="13">
        <f t="shared" si="28"/>
        <v>0.44751511832694746</v>
      </c>
      <c r="G599" s="13">
        <f t="shared" si="29"/>
        <v>-1.1903948610659576</v>
      </c>
    </row>
    <row r="600" spans="1:7" x14ac:dyDescent="0.2">
      <c r="A600" s="9">
        <v>46150</v>
      </c>
      <c r="B600" s="1">
        <v>4.2581130067297801</v>
      </c>
      <c r="C600" s="1">
        <v>4.9545349927180897</v>
      </c>
      <c r="D600" s="1">
        <v>5.6908245514163402</v>
      </c>
      <c r="E600" s="13">
        <f t="shared" si="27"/>
        <v>143.27115446865602</v>
      </c>
      <c r="F600" s="13">
        <f t="shared" si="28"/>
        <v>-5.9592186311579667</v>
      </c>
      <c r="G600" s="13">
        <f t="shared" si="29"/>
        <v>-1.4588627550790711</v>
      </c>
    </row>
    <row r="601" spans="1:7" x14ac:dyDescent="0.2">
      <c r="A601" s="9">
        <v>46153</v>
      </c>
      <c r="B601" s="1">
        <v>4.3418908366033797</v>
      </c>
      <c r="C601" s="1">
        <v>5.0425817794682199</v>
      </c>
      <c r="D601" s="1">
        <v>5.7853292675064703</v>
      </c>
      <c r="E601" s="13">
        <f t="shared" si="27"/>
        <v>144.34384309030906</v>
      </c>
      <c r="F601" s="13">
        <f t="shared" si="28"/>
        <v>1.0726886216530431</v>
      </c>
      <c r="G601" s="13">
        <f t="shared" si="29"/>
        <v>8.8046786750130224</v>
      </c>
    </row>
    <row r="602" spans="1:7" x14ac:dyDescent="0.2">
      <c r="A602" s="9">
        <v>46154</v>
      </c>
      <c r="B602" s="1">
        <v>4.4007664580522503</v>
      </c>
      <c r="C602" s="1">
        <v>5.1384075994746397</v>
      </c>
      <c r="D602" s="1">
        <v>5.86690760106812</v>
      </c>
      <c r="E602" s="13">
        <f t="shared" si="27"/>
        <v>146.61411430158697</v>
      </c>
      <c r="F602" s="13">
        <f t="shared" si="28"/>
        <v>2.2702712112779011</v>
      </c>
      <c r="G602" s="13">
        <f t="shared" si="29"/>
        <v>9.5825820006419704</v>
      </c>
    </row>
    <row r="603" spans="1:7" x14ac:dyDescent="0.2">
      <c r="A603" s="9">
        <v>46155</v>
      </c>
      <c r="B603" s="1">
        <v>4.3609587046315896</v>
      </c>
      <c r="C603" s="1">
        <v>5.1139209979021603</v>
      </c>
      <c r="D603" s="1">
        <v>5.8482967363726601</v>
      </c>
      <c r="E603" s="13">
        <f t="shared" si="27"/>
        <v>148.73380317410704</v>
      </c>
      <c r="F603" s="13">
        <f t="shared" si="28"/>
        <v>2.1196888725200722</v>
      </c>
      <c r="G603" s="13">
        <f t="shared" si="29"/>
        <v>-2.4486601572479394</v>
      </c>
    </row>
    <row r="604" spans="1:7" x14ac:dyDescent="0.2">
      <c r="A604" s="9">
        <v>46156</v>
      </c>
      <c r="B604" s="1">
        <v>4.3149906599814098</v>
      </c>
      <c r="C604" s="1">
        <v>5.04831926077361</v>
      </c>
      <c r="D604" s="1">
        <v>5.7702689960851004</v>
      </c>
      <c r="E604" s="13">
        <f t="shared" si="27"/>
        <v>145.52783361036904</v>
      </c>
      <c r="F604" s="13">
        <f t="shared" si="28"/>
        <v>-3.2059695637379946</v>
      </c>
      <c r="G604" s="13">
        <f t="shared" si="29"/>
        <v>-6.5601737128550219</v>
      </c>
    </row>
    <row r="605" spans="1:7" x14ac:dyDescent="0.2">
      <c r="A605" s="9">
        <v>46157</v>
      </c>
      <c r="B605" s="1">
        <v>4.4177989703681302</v>
      </c>
      <c r="C605" s="1">
        <v>5.2137676262335804</v>
      </c>
      <c r="D605" s="1">
        <v>5.9476710465181197</v>
      </c>
      <c r="E605" s="13">
        <f t="shared" si="27"/>
        <v>152.98720761499897</v>
      </c>
      <c r="F605" s="13">
        <f t="shared" si="28"/>
        <v>7.4593740046299217</v>
      </c>
      <c r="G605" s="13">
        <f t="shared" si="29"/>
        <v>16.544836545997033</v>
      </c>
    </row>
    <row r="606" spans="1:7" x14ac:dyDescent="0.2">
      <c r="A606" s="9">
        <v>46160</v>
      </c>
      <c r="B606" s="1">
        <v>4.3918465021633999</v>
      </c>
      <c r="C606" s="1">
        <v>5.1878793438281399</v>
      </c>
      <c r="D606" s="1">
        <v>5.9129930193445697</v>
      </c>
      <c r="E606" s="13">
        <f t="shared" si="27"/>
        <v>152.11465171811699</v>
      </c>
      <c r="F606" s="13">
        <f t="shared" si="28"/>
        <v>-0.87255589688197688</v>
      </c>
      <c r="G606" s="13">
        <f t="shared" si="29"/>
        <v>-2.5888282405440499</v>
      </c>
    </row>
    <row r="607" spans="1:7" x14ac:dyDescent="0.2">
      <c r="A607" s="9">
        <v>46161</v>
      </c>
      <c r="B607" s="1">
        <v>4.3801996427305898</v>
      </c>
      <c r="C607" s="1">
        <v>5.1655272855933996</v>
      </c>
      <c r="D607" s="1">
        <v>5.8908757531148197</v>
      </c>
      <c r="E607" s="13">
        <f t="shared" si="27"/>
        <v>151.067611038423</v>
      </c>
      <c r="F607" s="13">
        <f t="shared" si="28"/>
        <v>-1.0470406796939926</v>
      </c>
      <c r="G607" s="13">
        <f t="shared" si="29"/>
        <v>-2.2352058234740291</v>
      </c>
    </row>
    <row r="608" spans="1:7" x14ac:dyDescent="0.2">
      <c r="A608" s="9">
        <v>46162</v>
      </c>
      <c r="B608" s="1">
        <v>4.2552154583411497</v>
      </c>
      <c r="C608" s="1">
        <v>5.0391001647043803</v>
      </c>
      <c r="D608" s="1">
        <v>5.7723929964044904</v>
      </c>
      <c r="E608" s="13">
        <f t="shared" si="27"/>
        <v>151.71775380633409</v>
      </c>
      <c r="F608" s="13">
        <f t="shared" si="28"/>
        <v>0.65014276791109182</v>
      </c>
      <c r="G608" s="13">
        <f t="shared" si="29"/>
        <v>-12.642712088901931</v>
      </c>
    </row>
    <row r="609" spans="1:7" x14ac:dyDescent="0.2">
      <c r="A609" s="9">
        <v>46163</v>
      </c>
      <c r="B609" s="1">
        <v>4.2515067805291302</v>
      </c>
      <c r="C609" s="1">
        <v>5.0080764480841502</v>
      </c>
      <c r="D609" s="1">
        <v>5.7420648612093403</v>
      </c>
      <c r="E609" s="13">
        <f t="shared" si="27"/>
        <v>149.05580806802101</v>
      </c>
      <c r="F609" s="13">
        <f t="shared" si="28"/>
        <v>-2.6619457383130793</v>
      </c>
      <c r="G609" s="13">
        <f t="shared" si="29"/>
        <v>-3.1023716620230068</v>
      </c>
    </row>
    <row r="610" spans="1:7" x14ac:dyDescent="0.2">
      <c r="A610" s="9">
        <v>46164</v>
      </c>
      <c r="B610" s="1">
        <v>4.2139174459080699</v>
      </c>
      <c r="C610" s="1">
        <v>4.9436687012720704</v>
      </c>
      <c r="D610" s="1">
        <v>5.6736454405767098</v>
      </c>
      <c r="E610" s="13">
        <f t="shared" si="27"/>
        <v>145.97279946686399</v>
      </c>
      <c r="F610" s="13">
        <f t="shared" si="28"/>
        <v>-3.0830086011570188</v>
      </c>
      <c r="G610" s="13">
        <f t="shared" si="29"/>
        <v>-6.4407746812079836</v>
      </c>
    </row>
    <row r="611" spans="1:7" x14ac:dyDescent="0.2">
      <c r="A611" s="9">
        <v>46168</v>
      </c>
      <c r="B611" s="1">
        <v>4.18423999458191</v>
      </c>
      <c r="C611" s="1">
        <v>4.9224422185979604</v>
      </c>
      <c r="D611" s="1">
        <v>5.66982194179662</v>
      </c>
      <c r="E611" s="13">
        <f t="shared" si="27"/>
        <v>148.55819472147101</v>
      </c>
      <c r="F611" s="13">
        <f t="shared" si="28"/>
        <v>2.5853952546070218</v>
      </c>
      <c r="G611" s="13">
        <f t="shared" si="29"/>
        <v>-2.1226482674109981</v>
      </c>
    </row>
    <row r="612" spans="1:7" x14ac:dyDescent="0.2">
      <c r="A612" s="9">
        <v>46169</v>
      </c>
      <c r="B612" s="1">
        <v>4.1575723710405699</v>
      </c>
      <c r="C612" s="1">
        <v>4.9086679591912503</v>
      </c>
      <c r="D612" s="1">
        <v>5.6814582720796798</v>
      </c>
      <c r="E612" s="13">
        <f t="shared" si="27"/>
        <v>152.38859010391099</v>
      </c>
      <c r="F612" s="13">
        <f t="shared" si="28"/>
        <v>3.8303953824399741</v>
      </c>
      <c r="G612" s="13">
        <f t="shared" si="29"/>
        <v>-1.3774259406710065</v>
      </c>
    </row>
    <row r="613" spans="1:7" x14ac:dyDescent="0.2">
      <c r="A613" s="9">
        <v>46170</v>
      </c>
      <c r="B613" s="1">
        <v>4.1291224662434702</v>
      </c>
      <c r="C613" s="1">
        <v>4.8677943556106396</v>
      </c>
      <c r="D613" s="1">
        <v>5.6469122262639404</v>
      </c>
      <c r="E613" s="13">
        <f t="shared" si="27"/>
        <v>151.77897600204702</v>
      </c>
      <c r="F613" s="13">
        <f t="shared" si="28"/>
        <v>-0.60961410186396847</v>
      </c>
      <c r="G613" s="13">
        <f t="shared" si="29"/>
        <v>-4.0873603580610762</v>
      </c>
    </row>
    <row r="614" spans="1:7" x14ac:dyDescent="0.2">
      <c r="A614" s="9">
        <v>46171</v>
      </c>
      <c r="B614" s="1">
        <v>4.0904688392272597</v>
      </c>
      <c r="C614" s="1">
        <v>4.86044665721335</v>
      </c>
      <c r="D614" s="1">
        <v>5.6312334386015701</v>
      </c>
      <c r="E614" s="13">
        <f t="shared" si="27"/>
        <v>154.07645993743105</v>
      </c>
      <c r="F614" s="13">
        <f t="shared" si="28"/>
        <v>2.2974839353840366</v>
      </c>
      <c r="G614" s="13">
        <f t="shared" si="29"/>
        <v>-0.73476983972895482</v>
      </c>
    </row>
    <row r="615" spans="1:7" x14ac:dyDescent="0.2">
      <c r="A615" s="9">
        <v>46174</v>
      </c>
      <c r="B615" s="1">
        <v>4.21087561418185</v>
      </c>
      <c r="C615" s="1">
        <v>4.94956031522978</v>
      </c>
      <c r="D615" s="1">
        <v>5.71053379619977</v>
      </c>
      <c r="E615" s="13">
        <f t="shared" si="27"/>
        <v>149.96581820179199</v>
      </c>
      <c r="F615" s="13">
        <f t="shared" si="28"/>
        <v>-4.1106417356390637</v>
      </c>
      <c r="G615" s="13">
        <f t="shared" si="29"/>
        <v>8.9113658016430009</v>
      </c>
    </row>
    <row r="616" spans="1:7" x14ac:dyDescent="0.2">
      <c r="A616" s="9">
        <v>46175</v>
      </c>
      <c r="B616" s="1">
        <v>4.1939596551434404</v>
      </c>
      <c r="C616" s="1">
        <v>4.9084263244634796</v>
      </c>
      <c r="D616" s="1">
        <v>5.6633322725601802</v>
      </c>
      <c r="E616" s="13">
        <f t="shared" si="27"/>
        <v>146.93726174167398</v>
      </c>
      <c r="F616" s="13">
        <f t="shared" si="28"/>
        <v>-3.0285564601180113</v>
      </c>
      <c r="G616" s="13">
        <f t="shared" si="29"/>
        <v>-4.1133990766300421</v>
      </c>
    </row>
    <row r="617" spans="1:7" x14ac:dyDescent="0.2">
      <c r="A617" s="9">
        <v>46176</v>
      </c>
      <c r="B617" s="1">
        <v>4.2424305086625802</v>
      </c>
      <c r="C617" s="1">
        <v>4.9677009259611102</v>
      </c>
      <c r="D617" s="1">
        <v>5.7218413491674802</v>
      </c>
      <c r="E617" s="13">
        <f t="shared" si="27"/>
        <v>147.94108405048999</v>
      </c>
      <c r="F617" s="13">
        <f t="shared" si="28"/>
        <v>1.0038223088160123</v>
      </c>
      <c r="G617" s="13">
        <f t="shared" si="29"/>
        <v>5.9274601497630641</v>
      </c>
    </row>
    <row r="618" spans="1:7" x14ac:dyDescent="0.2">
      <c r="A618" s="9">
        <v>46177</v>
      </c>
      <c r="B618" s="1">
        <v>4.2231456586720704</v>
      </c>
      <c r="C618" s="1">
        <v>4.9553157902270399</v>
      </c>
      <c r="D618" s="1">
        <v>5.7114973411385703</v>
      </c>
      <c r="E618" s="13">
        <f t="shared" si="27"/>
        <v>148.83516824665</v>
      </c>
      <c r="F618" s="13">
        <f t="shared" si="28"/>
        <v>0.89408419616000856</v>
      </c>
      <c r="G618" s="13">
        <f t="shared" si="29"/>
        <v>-1.2385135734070296</v>
      </c>
    </row>
    <row r="619" spans="1:7" x14ac:dyDescent="0.2">
      <c r="A619" s="9">
        <v>46178</v>
      </c>
      <c r="B619" s="1">
        <v>4.2229031712713496</v>
      </c>
      <c r="C619" s="1">
        <v>4.9525497919548904</v>
      </c>
      <c r="D619" s="1">
        <v>5.7019374275896997</v>
      </c>
      <c r="E619" s="13">
        <f t="shared" si="27"/>
        <v>147.90342563183501</v>
      </c>
      <c r="F619" s="13">
        <f t="shared" si="28"/>
        <v>-0.93174261481499343</v>
      </c>
      <c r="G619" s="13">
        <f t="shared" si="29"/>
        <v>-0.27659982721495169</v>
      </c>
    </row>
    <row r="620" spans="1:7" x14ac:dyDescent="0.2">
      <c r="A620" s="9">
        <v>46181</v>
      </c>
      <c r="B620" s="1">
        <v>4.2565900472908798</v>
      </c>
      <c r="C620" s="1">
        <v>4.9882557185283103</v>
      </c>
      <c r="D620" s="1">
        <v>5.7338064874902699</v>
      </c>
      <c r="E620" s="13">
        <f t="shared" si="27"/>
        <v>147.72164401993902</v>
      </c>
      <c r="F620" s="13">
        <f t="shared" si="28"/>
        <v>-0.18178161189598541</v>
      </c>
      <c r="G620" s="13">
        <f t="shared" si="29"/>
        <v>3.5705926573419866</v>
      </c>
    </row>
    <row r="621" spans="1:7" x14ac:dyDescent="0.2">
      <c r="A621" s="9">
        <v>46182</v>
      </c>
      <c r="B621" s="1">
        <v>4.2225327233239103</v>
      </c>
      <c r="C621" s="1">
        <v>4.9634401551874401</v>
      </c>
      <c r="D621" s="1">
        <v>5.7166376966534598</v>
      </c>
      <c r="E621" s="13">
        <f t="shared" si="27"/>
        <v>149.41049733295495</v>
      </c>
      <c r="F621" s="13">
        <f t="shared" si="28"/>
        <v>1.688853313015926</v>
      </c>
      <c r="G621" s="13">
        <f t="shared" si="29"/>
        <v>-2.4815563340870206</v>
      </c>
    </row>
    <row r="622" spans="1:7" x14ac:dyDescent="0.2">
      <c r="A622" s="9">
        <v>46183</v>
      </c>
      <c r="B622" s="1">
        <v>4.2427759606044297</v>
      </c>
      <c r="C622" s="1">
        <v>4.9769343140860798</v>
      </c>
      <c r="D622" s="1">
        <v>5.7280944889816503</v>
      </c>
      <c r="E622" s="13">
        <f t="shared" si="27"/>
        <v>148.53185283772206</v>
      </c>
      <c r="F622" s="13">
        <f t="shared" si="28"/>
        <v>-0.87864449523289068</v>
      </c>
      <c r="G622" s="13">
        <f t="shared" si="29"/>
        <v>1.3494158898639697</v>
      </c>
    </row>
    <row r="623" spans="1:7" x14ac:dyDescent="0.2">
      <c r="A623" s="9">
        <v>46184</v>
      </c>
      <c r="B623" s="1">
        <v>4.2257475893081802</v>
      </c>
      <c r="C623" s="1">
        <v>4.9548483774862797</v>
      </c>
      <c r="D623" s="1">
        <v>5.7068954706619497</v>
      </c>
      <c r="E623" s="13">
        <f t="shared" si="27"/>
        <v>148.11478813537695</v>
      </c>
      <c r="F623" s="13">
        <f t="shared" si="28"/>
        <v>-0.41706470234510107</v>
      </c>
      <c r="G623" s="13">
        <f t="shared" si="29"/>
        <v>-2.2085936599800071</v>
      </c>
    </row>
    <row r="624" spans="1:7" x14ac:dyDescent="0.2">
      <c r="A624" s="9">
        <v>46185</v>
      </c>
      <c r="B624" s="1">
        <v>4.1325368108665996</v>
      </c>
      <c r="C624" s="1">
        <v>4.8996544710048404</v>
      </c>
      <c r="D624" s="1">
        <v>5.6695022552337004</v>
      </c>
      <c r="E624" s="13">
        <f t="shared" si="27"/>
        <v>153.69654443671007</v>
      </c>
      <c r="F624" s="13">
        <f t="shared" si="28"/>
        <v>5.5817563013331153</v>
      </c>
      <c r="G624" s="13">
        <f t="shared" si="29"/>
        <v>-5.5193906481439292</v>
      </c>
    </row>
    <row r="625" spans="1:7" x14ac:dyDescent="0.2">
      <c r="A625" s="9">
        <v>46188</v>
      </c>
      <c r="B625" s="1">
        <v>4.0720958420846198</v>
      </c>
      <c r="C625" s="1">
        <v>4.8767242008006599</v>
      </c>
      <c r="D625" s="1">
        <v>5.6751740840174598</v>
      </c>
      <c r="E625" s="13">
        <f t="shared" si="27"/>
        <v>160.30782419328401</v>
      </c>
      <c r="F625" s="13">
        <f t="shared" si="28"/>
        <v>6.6112797565739356</v>
      </c>
      <c r="G625" s="13">
        <f t="shared" si="29"/>
        <v>-2.2930270204180481</v>
      </c>
    </row>
    <row r="626" spans="1:7" x14ac:dyDescent="0.2">
      <c r="A626" s="9">
        <v>46189</v>
      </c>
      <c r="B626" s="1">
        <v>4.0954847682692899</v>
      </c>
      <c r="C626" s="1">
        <v>4.8627471432169997</v>
      </c>
      <c r="D626" s="1">
        <v>5.6472833160475604</v>
      </c>
      <c r="E626" s="13">
        <f t="shared" si="27"/>
        <v>155.17985477782705</v>
      </c>
      <c r="F626" s="13">
        <f t="shared" si="28"/>
        <v>-5.1279694154569597</v>
      </c>
      <c r="G626" s="13">
        <f t="shared" si="29"/>
        <v>-1.3977057583660191</v>
      </c>
    </row>
    <row r="627" spans="1:7" x14ac:dyDescent="0.2">
      <c r="A627" s="9">
        <v>46190</v>
      </c>
      <c r="B627" s="1">
        <v>4.05261785770751</v>
      </c>
      <c r="C627" s="1">
        <v>4.8234792384551897</v>
      </c>
      <c r="D627" s="1">
        <v>5.6139218225717604</v>
      </c>
      <c r="E627" s="13">
        <f t="shared" si="27"/>
        <v>156.13039648642504</v>
      </c>
      <c r="F627" s="13">
        <f t="shared" si="28"/>
        <v>0.95054170859799569</v>
      </c>
      <c r="G627" s="13">
        <f t="shared" si="29"/>
        <v>-3.926790476181008</v>
      </c>
    </row>
    <row r="628" spans="1:7" x14ac:dyDescent="0.2">
      <c r="A628" s="9">
        <v>46191</v>
      </c>
      <c r="B628" s="1">
        <v>4.0658008678705304</v>
      </c>
      <c r="C628" s="1">
        <v>4.8000577075695103</v>
      </c>
      <c r="D628" s="1">
        <v>5.5696221055306498</v>
      </c>
      <c r="E628" s="13">
        <f t="shared" si="27"/>
        <v>150.38212376601194</v>
      </c>
      <c r="F628" s="13">
        <f t="shared" si="28"/>
        <v>-5.7482727204130981</v>
      </c>
      <c r="G628" s="13">
        <f t="shared" si="29"/>
        <v>-2.3421530885679331</v>
      </c>
    </row>
    <row r="629" spans="1:7" x14ac:dyDescent="0.2">
      <c r="A629" s="9">
        <v>46192</v>
      </c>
      <c r="B629" s="1">
        <v>4.14455660510305</v>
      </c>
      <c r="C629" s="1">
        <v>4.8983967258054903</v>
      </c>
      <c r="D629" s="1">
        <v>5.6681176071844499</v>
      </c>
      <c r="E629" s="13">
        <f t="shared" si="27"/>
        <v>152.35610020813999</v>
      </c>
      <c r="F629" s="13">
        <f t="shared" si="28"/>
        <v>1.9739764421280483</v>
      </c>
      <c r="G629" s="13">
        <f t="shared" si="29"/>
        <v>9.8339018235980014</v>
      </c>
    </row>
    <row r="630" spans="1:7" x14ac:dyDescent="0.2">
      <c r="A630" s="9">
        <v>46195</v>
      </c>
      <c r="B630" s="1">
        <v>4.1002076968582299</v>
      </c>
      <c r="C630" s="1">
        <v>4.8619842879329198</v>
      </c>
      <c r="D630" s="1">
        <v>5.6315380214723296</v>
      </c>
      <c r="E630" s="13">
        <f t="shared" si="27"/>
        <v>153.13303246140998</v>
      </c>
      <c r="F630" s="13">
        <f t="shared" si="28"/>
        <v>0.77693225326999027</v>
      </c>
      <c r="G630" s="13">
        <f t="shared" si="29"/>
        <v>-3.6412437872570536</v>
      </c>
    </row>
    <row r="631" spans="1:7" x14ac:dyDescent="0.2">
      <c r="A631" s="9">
        <v>46196</v>
      </c>
      <c r="B631" s="1">
        <v>4.0581346084402696</v>
      </c>
      <c r="C631" s="1">
        <v>4.8096769765888796</v>
      </c>
      <c r="D631" s="1">
        <v>5.5837715773762699</v>
      </c>
      <c r="E631" s="13">
        <f t="shared" si="27"/>
        <v>152.56369689360002</v>
      </c>
      <c r="F631" s="13">
        <f t="shared" si="28"/>
        <v>-0.56933556780995787</v>
      </c>
      <c r="G631" s="13">
        <f t="shared" si="29"/>
        <v>-5.2307311344040208</v>
      </c>
    </row>
    <row r="632" spans="1:7" x14ac:dyDescent="0.2">
      <c r="A632" s="9">
        <v>46197</v>
      </c>
      <c r="B632" s="1">
        <v>4.0290112368329298</v>
      </c>
      <c r="C632" s="1">
        <v>4.74384329192132</v>
      </c>
      <c r="D632" s="1">
        <v>5.5087916111745301</v>
      </c>
      <c r="E632" s="13">
        <f t="shared" si="27"/>
        <v>147.97803743416003</v>
      </c>
      <c r="F632" s="13">
        <f t="shared" si="28"/>
        <v>-4.5856594594399951</v>
      </c>
      <c r="G632" s="13">
        <f t="shared" si="29"/>
        <v>-6.5833684667559567</v>
      </c>
    </row>
    <row r="633" spans="1:7" x14ac:dyDescent="0.2">
      <c r="A633" s="9">
        <v>46198</v>
      </c>
      <c r="B633" s="1">
        <v>4.0123485865615196</v>
      </c>
      <c r="C633" s="1">
        <v>4.7625776195969802</v>
      </c>
      <c r="D633" s="1">
        <v>5.5371518362728303</v>
      </c>
      <c r="E633" s="13">
        <f t="shared" si="27"/>
        <v>152.48032497113107</v>
      </c>
      <c r="F633" s="13">
        <f t="shared" si="28"/>
        <v>4.5022875369710391</v>
      </c>
      <c r="G633" s="13">
        <f t="shared" si="29"/>
        <v>1.873432767566019</v>
      </c>
    </row>
    <row r="634" spans="1:7" x14ac:dyDescent="0.2">
      <c r="A634" s="9">
        <v>46199</v>
      </c>
      <c r="B634" s="1">
        <v>4.0172404472823899</v>
      </c>
      <c r="C634" s="1">
        <v>4.7950148237225898</v>
      </c>
      <c r="D634" s="1">
        <v>5.5852866115776196</v>
      </c>
      <c r="E634" s="13">
        <f t="shared" si="27"/>
        <v>156.80461642952298</v>
      </c>
      <c r="F634" s="13">
        <f t="shared" si="28"/>
        <v>4.3242914583919116</v>
      </c>
      <c r="G634" s="13">
        <f t="shared" si="29"/>
        <v>3.2437204125609576</v>
      </c>
    </row>
    <row r="635" spans="1:7" x14ac:dyDescent="0.2">
      <c r="A635" s="9">
        <v>46202</v>
      </c>
      <c r="B635" s="1">
        <v>4.0215495428830801</v>
      </c>
      <c r="C635" s="1">
        <v>4.7813808275481904</v>
      </c>
      <c r="D635" s="1">
        <v>5.5602113656041103</v>
      </c>
      <c r="E635" s="13">
        <f t="shared" si="27"/>
        <v>153.86618227210303</v>
      </c>
      <c r="F635" s="13">
        <f t="shared" si="28"/>
        <v>-2.9384341574199482</v>
      </c>
      <c r="G635" s="13">
        <f t="shared" si="29"/>
        <v>-1.3633996174399421</v>
      </c>
    </row>
    <row r="636" spans="1:7" x14ac:dyDescent="0.2">
      <c r="A636" s="9">
        <v>46203</v>
      </c>
      <c r="B636" s="1">
        <v>4.0484963971831602</v>
      </c>
      <c r="C636" s="1">
        <v>4.8267491072365099</v>
      </c>
      <c r="D636" s="1">
        <v>5.61468091306243</v>
      </c>
      <c r="E636" s="13">
        <f t="shared" si="27"/>
        <v>156.61845158792698</v>
      </c>
      <c r="F636" s="13">
        <f t="shared" si="28"/>
        <v>2.752269315823952</v>
      </c>
      <c r="G636" s="13">
        <f t="shared" si="29"/>
        <v>4.5368279688319468</v>
      </c>
    </row>
    <row r="637" spans="1:7" x14ac:dyDescent="0.2">
      <c r="A637" s="9">
        <v>46204</v>
      </c>
      <c r="B637" s="1">
        <v>4.0233064346118104</v>
      </c>
      <c r="C637" s="1">
        <v>4.83005480251534</v>
      </c>
      <c r="D637" s="1">
        <v>5.6309383853415396</v>
      </c>
      <c r="E637" s="13">
        <f t="shared" si="27"/>
        <v>160.76319507297291</v>
      </c>
      <c r="F637" s="13">
        <f t="shared" si="28"/>
        <v>4.1447434850459217</v>
      </c>
      <c r="G637" s="13">
        <f t="shared" si="29"/>
        <v>0.33056952788301786</v>
      </c>
    </row>
    <row r="638" spans="1:7" x14ac:dyDescent="0.2">
      <c r="A638" s="9">
        <v>46205</v>
      </c>
      <c r="B638" s="1">
        <v>4.0025806402725097</v>
      </c>
      <c r="C638" s="1">
        <v>4.8370334814604803</v>
      </c>
      <c r="D638" s="1">
        <v>5.6439673396243997</v>
      </c>
      <c r="E638" s="13">
        <f t="shared" si="27"/>
        <v>164.138669935189</v>
      </c>
      <c r="F638" s="13">
        <f t="shared" si="28"/>
        <v>3.3754748622160946</v>
      </c>
      <c r="G638" s="13">
        <f t="shared" si="29"/>
        <v>0.69786789451402598</v>
      </c>
    </row>
    <row r="639" spans="1:7" x14ac:dyDescent="0.2">
      <c r="A639" s="9">
        <v>46206</v>
      </c>
      <c r="B639" s="1">
        <v>4.0164346397049204</v>
      </c>
      <c r="C639" s="1">
        <v>4.8535333122228996</v>
      </c>
      <c r="D639" s="1">
        <v>5.6545152595817196</v>
      </c>
      <c r="E639" s="13">
        <f t="shared" si="27"/>
        <v>163.80806198767993</v>
      </c>
      <c r="F639" s="13">
        <f t="shared" si="28"/>
        <v>-0.33060794750906553</v>
      </c>
      <c r="G639" s="13">
        <f t="shared" si="29"/>
        <v>1.6499830762419343</v>
      </c>
    </row>
    <row r="640" spans="1:7" x14ac:dyDescent="0.2">
      <c r="A640" s="9">
        <v>46209</v>
      </c>
      <c r="B640" s="1">
        <v>4.0137750371242698</v>
      </c>
      <c r="C640" s="1">
        <v>4.8581590440388398</v>
      </c>
      <c r="D640" s="1">
        <v>5.67143129730864</v>
      </c>
      <c r="E640" s="13">
        <f t="shared" si="27"/>
        <v>165.76562601843702</v>
      </c>
      <c r="F640" s="13">
        <f t="shared" si="28"/>
        <v>1.9575640307570836</v>
      </c>
      <c r="G640" s="13">
        <f t="shared" si="29"/>
        <v>0.46257318159401706</v>
      </c>
    </row>
    <row r="641" spans="1:7" x14ac:dyDescent="0.2">
      <c r="A641" s="9">
        <v>46210</v>
      </c>
      <c r="B641" s="1">
        <v>4.0506022113996396</v>
      </c>
      <c r="C641" s="1">
        <v>4.8972873511995099</v>
      </c>
      <c r="D641" s="1">
        <v>5.7057428407749002</v>
      </c>
      <c r="E641" s="13">
        <f t="shared" si="27"/>
        <v>165.51406293752606</v>
      </c>
      <c r="F641" s="13">
        <f t="shared" si="28"/>
        <v>-0.25156308091095525</v>
      </c>
      <c r="G641" s="13">
        <f t="shared" si="29"/>
        <v>3.9128307160670062</v>
      </c>
    </row>
    <row r="642" spans="1:7" x14ac:dyDescent="0.2">
      <c r="A642" s="9">
        <v>46211</v>
      </c>
      <c r="B642" s="1">
        <v>4.2077633012178097</v>
      </c>
      <c r="C642" s="1">
        <v>5.0356480735978799</v>
      </c>
      <c r="D642" s="1">
        <v>5.81418746704494</v>
      </c>
      <c r="E642" s="13">
        <f t="shared" si="27"/>
        <v>160.64241658271303</v>
      </c>
      <c r="F642" s="13">
        <f t="shared" si="28"/>
        <v>-4.8716463548130378</v>
      </c>
      <c r="G642" s="13">
        <f t="shared" si="29"/>
        <v>13.836072239837005</v>
      </c>
    </row>
    <row r="643" spans="1:7" x14ac:dyDescent="0.2">
      <c r="A643" s="9">
        <v>46212</v>
      </c>
      <c r="B643" s="1">
        <v>4.1372552679542602</v>
      </c>
      <c r="C643" s="1">
        <v>4.9750787069267703</v>
      </c>
      <c r="D643" s="1">
        <v>5.7670706221974104</v>
      </c>
      <c r="E643" s="13">
        <f t="shared" si="27"/>
        <v>162.98153542431501</v>
      </c>
      <c r="F643" s="13">
        <f t="shared" si="28"/>
        <v>2.3391188416019872</v>
      </c>
      <c r="G643" s="13">
        <f t="shared" si="29"/>
        <v>-6.056936667110957</v>
      </c>
    </row>
    <row r="644" spans="1:7" x14ac:dyDescent="0.2">
      <c r="A644" s="9">
        <v>46213</v>
      </c>
      <c r="B644" s="1">
        <v>4.1204122627963704</v>
      </c>
      <c r="C644" s="1">
        <v>4.9511624780786097</v>
      </c>
      <c r="D644" s="1">
        <v>5.73862894903358</v>
      </c>
      <c r="E644" s="13">
        <f t="shared" si="27"/>
        <v>161.82166862372097</v>
      </c>
      <c r="F644" s="13">
        <f t="shared" si="28"/>
        <v>-1.1598668005940453</v>
      </c>
      <c r="G644" s="13">
        <f t="shared" si="29"/>
        <v>-2.3916228848160692</v>
      </c>
    </row>
    <row r="645" spans="1:7" x14ac:dyDescent="0.2">
      <c r="A645" s="9">
        <v>46216</v>
      </c>
      <c r="B645" s="1">
        <v>4.23097189203075</v>
      </c>
      <c r="C645" s="1">
        <v>5.0281960337587401</v>
      </c>
      <c r="D645" s="1">
        <v>5.7903153408384398</v>
      </c>
      <c r="E645" s="13">
        <f t="shared" si="27"/>
        <v>155.93434488076898</v>
      </c>
      <c r="F645" s="13">
        <f t="shared" si="28"/>
        <v>-5.8873237429519918</v>
      </c>
      <c r="G645" s="13">
        <f t="shared" si="29"/>
        <v>7.7033555680130483</v>
      </c>
    </row>
    <row r="646" spans="1:7" x14ac:dyDescent="0.2">
      <c r="A646" s="9">
        <v>46217</v>
      </c>
      <c r="B646" s="1">
        <v>4.2115520221106397</v>
      </c>
      <c r="C646" s="1">
        <v>5.0141065314865401</v>
      </c>
      <c r="D646" s="1">
        <v>5.77491303580224</v>
      </c>
      <c r="E646" s="13">
        <f t="shared" si="27"/>
        <v>156.33610136916002</v>
      </c>
      <c r="F646" s="13">
        <f t="shared" si="28"/>
        <v>0.40175648839104383</v>
      </c>
      <c r="G646" s="13">
        <f t="shared" si="29"/>
        <v>-1.4089502272200072</v>
      </c>
    </row>
    <row r="647" spans="1:7" x14ac:dyDescent="0.2">
      <c r="A647" s="9">
        <v>46218</v>
      </c>
      <c r="B647" s="1">
        <v>4.2134064145262196</v>
      </c>
      <c r="C647" s="1">
        <v>5.0138156714730702</v>
      </c>
      <c r="D647" s="1">
        <v>5.7737734918446799</v>
      </c>
      <c r="E647" s="13">
        <f t="shared" ref="E647:E705" si="30">(D647-B647)*100</f>
        <v>156.03670773184604</v>
      </c>
      <c r="F647" s="13">
        <f t="shared" si="28"/>
        <v>-0.29939363731398316</v>
      </c>
      <c r="G647" s="13">
        <f t="shared" si="29"/>
        <v>-2.9086001346989576E-2</v>
      </c>
    </row>
    <row r="648" spans="1:7" x14ac:dyDescent="0.2">
      <c r="A648" s="9">
        <v>46219</v>
      </c>
      <c r="B648" s="1">
        <v>4.2402516824407703</v>
      </c>
      <c r="C648" s="1">
        <v>5.0376102988841103</v>
      </c>
      <c r="D648" s="1">
        <v>5.7956574554699696</v>
      </c>
      <c r="E648" s="13">
        <f t="shared" si="30"/>
        <v>155.54057730291993</v>
      </c>
      <c r="F648" s="13">
        <f t="shared" ref="F648:F705" si="31">E648-E647</f>
        <v>-0.49613042892610792</v>
      </c>
      <c r="G648" s="13">
        <f t="shared" ref="G648:G705" si="32">(C648-C647)*100</f>
        <v>2.3794627411040103</v>
      </c>
    </row>
    <row r="649" spans="1:7" x14ac:dyDescent="0.2">
      <c r="A649" s="9">
        <v>46220</v>
      </c>
      <c r="B649" s="1">
        <v>4.2389581429914296</v>
      </c>
      <c r="C649" s="1">
        <v>5.0138931327023499</v>
      </c>
      <c r="D649" s="1">
        <v>5.7777259204059401</v>
      </c>
      <c r="E649" s="13">
        <f t="shared" si="30"/>
        <v>153.87677774145106</v>
      </c>
      <c r="F649" s="13">
        <f t="shared" si="31"/>
        <v>-1.6637995614688634</v>
      </c>
      <c r="G649" s="13">
        <f t="shared" si="32"/>
        <v>-2.3717166181760341</v>
      </c>
    </row>
    <row r="650" spans="1:7" x14ac:dyDescent="0.2">
      <c r="A650" s="9">
        <v>46223</v>
      </c>
      <c r="B650" s="1">
        <v>4.2961439078071804</v>
      </c>
      <c r="C650" s="1">
        <v>5.0938826256029204</v>
      </c>
      <c r="D650" s="1">
        <v>5.8659007377140604</v>
      </c>
      <c r="E650" s="13">
        <f t="shared" si="30"/>
        <v>156.975682990688</v>
      </c>
      <c r="F650" s="13">
        <f t="shared" si="31"/>
        <v>3.0989052492369353</v>
      </c>
      <c r="G650" s="13">
        <f t="shared" si="32"/>
        <v>7.9989492900570447</v>
      </c>
    </row>
    <row r="651" spans="1:7" x14ac:dyDescent="0.2">
      <c r="A651" s="9">
        <v>46224</v>
      </c>
      <c r="B651" s="1">
        <v>4.2915275548479599</v>
      </c>
      <c r="C651" s="1">
        <v>5.0929631654621197</v>
      </c>
      <c r="D651" s="1">
        <v>5.8632368527385204</v>
      </c>
      <c r="E651" s="13">
        <f t="shared" si="30"/>
        <v>157.17092978905606</v>
      </c>
      <c r="F651" s="13">
        <f t="shared" si="31"/>
        <v>0.19524679836806058</v>
      </c>
      <c r="G651" s="13">
        <f t="shared" si="32"/>
        <v>-9.194601408006875E-2</v>
      </c>
    </row>
    <row r="652" spans="1:7" x14ac:dyDescent="0.2">
      <c r="A652" s="9">
        <v>46225</v>
      </c>
      <c r="B652" s="1">
        <v>4.3293533493665803</v>
      </c>
      <c r="C652" s="1">
        <v>5.1031993867086802</v>
      </c>
      <c r="D652" s="1">
        <v>5.8530278051036602</v>
      </c>
      <c r="E652" s="13">
        <f t="shared" si="30"/>
        <v>152.36744557370798</v>
      </c>
      <c r="F652" s="13">
        <f t="shared" si="31"/>
        <v>-4.8034842153480781</v>
      </c>
      <c r="G652" s="13">
        <f t="shared" si="32"/>
        <v>1.023622124656054</v>
      </c>
    </row>
    <row r="653" spans="1:7" x14ac:dyDescent="0.2">
      <c r="A653" s="9">
        <v>46226</v>
      </c>
      <c r="B653" s="1">
        <v>4.38999508852313</v>
      </c>
      <c r="C653" s="1">
        <v>5.1682866238943301</v>
      </c>
      <c r="D653" s="1">
        <v>5.9003938854056397</v>
      </c>
      <c r="E653" s="13">
        <f t="shared" si="30"/>
        <v>151.03987968825098</v>
      </c>
      <c r="F653" s="13">
        <f t="shared" si="31"/>
        <v>-1.3275658854570054</v>
      </c>
      <c r="G653" s="13">
        <f t="shared" si="32"/>
        <v>6.5087237185649904</v>
      </c>
    </row>
    <row r="654" spans="1:7" x14ac:dyDescent="0.2">
      <c r="A654" s="9">
        <v>46227</v>
      </c>
      <c r="B654" s="1">
        <v>4.3210412735411401</v>
      </c>
      <c r="C654" s="1">
        <v>5.0991010003346204</v>
      </c>
      <c r="D654" s="1">
        <v>5.8440792994258901</v>
      </c>
      <c r="E654" s="13">
        <f t="shared" si="30"/>
        <v>152.30380258847501</v>
      </c>
      <c r="F654" s="13">
        <f t="shared" si="31"/>
        <v>1.2639229002240313</v>
      </c>
      <c r="G654" s="13">
        <f t="shared" si="32"/>
        <v>-6.9185623559709697</v>
      </c>
    </row>
    <row r="655" spans="1:7" x14ac:dyDescent="0.2">
      <c r="A655" s="9">
        <v>46230</v>
      </c>
      <c r="B655" s="1">
        <v>4.2714288073530602</v>
      </c>
      <c r="C655" s="1">
        <v>5.04888279904696</v>
      </c>
      <c r="D655" s="1">
        <v>5.8018326065091399</v>
      </c>
      <c r="E655" s="13">
        <f t="shared" si="30"/>
        <v>153.04037991560796</v>
      </c>
      <c r="F655" s="13">
        <f t="shared" si="31"/>
        <v>0.73657732713294877</v>
      </c>
      <c r="G655" s="13">
        <f t="shared" si="32"/>
        <v>-5.0218201287660413</v>
      </c>
    </row>
    <row r="656" spans="1:7" x14ac:dyDescent="0.2">
      <c r="A656" s="9">
        <v>46231</v>
      </c>
      <c r="B656" s="1">
        <v>4.2385409730266703</v>
      </c>
      <c r="C656" s="1">
        <v>5.0186046143457297</v>
      </c>
      <c r="D656" s="1">
        <v>5.7902905789832504</v>
      </c>
      <c r="E656" s="13">
        <f t="shared" si="30"/>
        <v>155.17496059565801</v>
      </c>
      <c r="F656" s="13">
        <f t="shared" si="31"/>
        <v>2.1345806800500498</v>
      </c>
      <c r="G656" s="13">
        <f t="shared" si="32"/>
        <v>-3.0278184701230337</v>
      </c>
    </row>
    <row r="657" spans="1:7" x14ac:dyDescent="0.2">
      <c r="A657" s="9">
        <v>46232</v>
      </c>
      <c r="B657" s="1">
        <v>4.3254682448741102</v>
      </c>
      <c r="C657" s="1">
        <v>5.0779294245191799</v>
      </c>
      <c r="D657" s="1">
        <v>5.83311813078409</v>
      </c>
      <c r="E657" s="13">
        <f t="shared" si="30"/>
        <v>150.76498859099797</v>
      </c>
      <c r="F657" s="13">
        <f t="shared" si="31"/>
        <v>-4.4099720046600339</v>
      </c>
      <c r="G657" s="13">
        <f t="shared" si="32"/>
        <v>5.932481017345026</v>
      </c>
    </row>
    <row r="658" spans="1:7" x14ac:dyDescent="0.2">
      <c r="A658" s="9">
        <v>46233</v>
      </c>
      <c r="B658" s="1">
        <v>4.2613281452864298</v>
      </c>
      <c r="C658" s="1">
        <v>5.0779785616210296</v>
      </c>
      <c r="D658" s="1">
        <v>5.8748500162365298</v>
      </c>
      <c r="E658" s="13">
        <f t="shared" si="30"/>
        <v>161.35218709501001</v>
      </c>
      <c r="F658" s="13">
        <f t="shared" si="31"/>
        <v>10.587198504012036</v>
      </c>
      <c r="G658" s="13">
        <f t="shared" si="32"/>
        <v>4.9137101849616727E-3</v>
      </c>
    </row>
    <row r="659" spans="1:7" x14ac:dyDescent="0.2">
      <c r="A659" s="9">
        <v>46234</v>
      </c>
      <c r="B659" s="1">
        <v>4.2991024995576197</v>
      </c>
      <c r="C659" s="1">
        <v>5.1039949579875099</v>
      </c>
      <c r="D659" s="1">
        <v>5.8916232771499999</v>
      </c>
      <c r="E659" s="13">
        <f t="shared" si="30"/>
        <v>159.25207775923803</v>
      </c>
      <c r="F659" s="13">
        <f t="shared" si="31"/>
        <v>-2.1001093357719753</v>
      </c>
      <c r="G659" s="13">
        <f t="shared" si="32"/>
        <v>2.6016396366480343</v>
      </c>
    </row>
    <row r="660" spans="1:7" x14ac:dyDescent="0.2">
      <c r="A660" s="9">
        <v>46237</v>
      </c>
      <c r="B660" s="1">
        <v>4.2121159757676896</v>
      </c>
      <c r="C660" s="1">
        <v>5.0210309281214096</v>
      </c>
      <c r="D660" s="1">
        <v>5.8196665535966599</v>
      </c>
      <c r="E660" s="13">
        <f t="shared" si="30"/>
        <v>160.75505778289704</v>
      </c>
      <c r="F660" s="13">
        <f t="shared" si="31"/>
        <v>1.5029800236590063</v>
      </c>
      <c r="G660" s="13">
        <f t="shared" si="32"/>
        <v>-8.2964029866100297</v>
      </c>
    </row>
    <row r="661" spans="1:7" x14ac:dyDescent="0.2">
      <c r="A661" s="9">
        <v>46238</v>
      </c>
      <c r="B661" s="1">
        <v>4.1624273560790304</v>
      </c>
      <c r="C661" s="1">
        <v>4.9871823258372503</v>
      </c>
      <c r="D661" s="1">
        <v>5.79737292097587</v>
      </c>
      <c r="E661" s="13">
        <f t="shared" si="30"/>
        <v>163.49455648968396</v>
      </c>
      <c r="F661" s="13">
        <f t="shared" si="31"/>
        <v>2.7394987067869181</v>
      </c>
      <c r="G661" s="13">
        <f t="shared" si="32"/>
        <v>-3.3848602284159313</v>
      </c>
    </row>
    <row r="662" spans="1:7" x14ac:dyDescent="0.2">
      <c r="A662" s="9">
        <v>46239</v>
      </c>
      <c r="B662" s="1">
        <v>4.1394898869514396</v>
      </c>
      <c r="C662" s="1">
        <v>4.9562538240369403</v>
      </c>
      <c r="D662" s="1">
        <v>5.7750638963051797</v>
      </c>
      <c r="E662" s="13">
        <f t="shared" si="30"/>
        <v>163.55740093537401</v>
      </c>
      <c r="F662" s="13">
        <f t="shared" si="31"/>
        <v>6.2844445690046769E-2</v>
      </c>
      <c r="G662" s="13">
        <f t="shared" si="32"/>
        <v>-3.0928501800310038</v>
      </c>
    </row>
    <row r="663" spans="1:7" x14ac:dyDescent="0.2">
      <c r="A663" s="9">
        <v>46240</v>
      </c>
      <c r="B663" s="1">
        <v>4.18083656930696</v>
      </c>
      <c r="C663" s="1">
        <v>4.9938692736568502</v>
      </c>
      <c r="D663" s="1">
        <v>5.8072677331882998</v>
      </c>
      <c r="E663" s="13">
        <f t="shared" si="30"/>
        <v>162.64311638813399</v>
      </c>
      <c r="F663" s="13">
        <f t="shared" si="31"/>
        <v>-0.9142845472400154</v>
      </c>
      <c r="G663" s="13">
        <f t="shared" si="32"/>
        <v>3.7615449619909924</v>
      </c>
    </row>
    <row r="664" spans="1:7" x14ac:dyDescent="0.2">
      <c r="A664" s="9">
        <v>46241</v>
      </c>
      <c r="B664" s="1">
        <v>4.1857737948112597</v>
      </c>
      <c r="C664" s="1">
        <v>4.9944691211051602</v>
      </c>
      <c r="D664" s="1">
        <v>5.8004576875338199</v>
      </c>
      <c r="E664" s="13">
        <f t="shared" si="30"/>
        <v>161.46838927225602</v>
      </c>
      <c r="F664" s="13">
        <f t="shared" si="31"/>
        <v>-1.1747271158779711</v>
      </c>
      <c r="G664" s="13">
        <f t="shared" si="32"/>
        <v>5.9984744830998693E-2</v>
      </c>
    </row>
    <row r="665" spans="1:7" x14ac:dyDescent="0.2">
      <c r="A665" s="9">
        <v>46244</v>
      </c>
      <c r="B665" s="1">
        <v>4.2412456830405398</v>
      </c>
      <c r="C665" s="1">
        <v>5.0528647995885896</v>
      </c>
      <c r="D665" s="1">
        <v>5.8519873427055202</v>
      </c>
      <c r="E665" s="13">
        <f t="shared" si="30"/>
        <v>161.07416596649804</v>
      </c>
      <c r="F665" s="13">
        <f t="shared" si="31"/>
        <v>-0.3942233057579756</v>
      </c>
      <c r="G665" s="13">
        <f t="shared" si="32"/>
        <v>5.8395678483429414</v>
      </c>
    </row>
    <row r="666" spans="1:7" x14ac:dyDescent="0.2">
      <c r="A666" s="9">
        <v>46245</v>
      </c>
      <c r="B666" s="1">
        <v>4.2073952664276604</v>
      </c>
      <c r="C666" s="1">
        <v>5.0273514202057896</v>
      </c>
      <c r="D666" s="1">
        <v>5.8252280762148301</v>
      </c>
      <c r="E666" s="13">
        <f t="shared" si="30"/>
        <v>161.78328097871696</v>
      </c>
      <c r="F666" s="13">
        <f t="shared" si="31"/>
        <v>0.70911501221891626</v>
      </c>
      <c r="G666" s="13">
        <f t="shared" si="32"/>
        <v>-2.5513379382799961</v>
      </c>
    </row>
    <row r="667" spans="1:7" x14ac:dyDescent="0.2">
      <c r="A667" s="9">
        <v>46246</v>
      </c>
      <c r="B667" s="1">
        <v>4.2215300866571397</v>
      </c>
      <c r="C667" s="1">
        <v>5.0437721884768401</v>
      </c>
      <c r="D667" s="1">
        <v>5.8461395876427096</v>
      </c>
      <c r="E667" s="13">
        <f t="shared" si="30"/>
        <v>162.46095009855699</v>
      </c>
      <c r="F667" s="13">
        <f t="shared" si="31"/>
        <v>0.67766911984003286</v>
      </c>
      <c r="G667" s="13">
        <f t="shared" si="32"/>
        <v>1.6420768271050434</v>
      </c>
    </row>
    <row r="668" spans="1:7" x14ac:dyDescent="0.2">
      <c r="A668" s="9">
        <v>46247</v>
      </c>
      <c r="B668" s="1">
        <v>4.2150360643872897</v>
      </c>
      <c r="C668" s="1">
        <v>5.0268723798922998</v>
      </c>
      <c r="D668" s="1">
        <v>5.83935797420874</v>
      </c>
      <c r="E668" s="13">
        <f t="shared" si="30"/>
        <v>162.43219098214502</v>
      </c>
      <c r="F668" s="13">
        <f t="shared" si="31"/>
        <v>-2.8759116411976038E-2</v>
      </c>
      <c r="G668" s="13">
        <f t="shared" si="32"/>
        <v>-1.689980858454021</v>
      </c>
    </row>
    <row r="669" spans="1:7" x14ac:dyDescent="0.2">
      <c r="A669" s="9">
        <v>46248</v>
      </c>
      <c r="B669" s="1">
        <v>4.2500069073602598</v>
      </c>
      <c r="C669" s="1">
        <v>5.09311287493958</v>
      </c>
      <c r="D669" s="1">
        <v>5.9076836772952301</v>
      </c>
      <c r="E669" s="13">
        <f t="shared" si="30"/>
        <v>165.76767699349705</v>
      </c>
      <c r="F669" s="13">
        <f t="shared" si="31"/>
        <v>3.3354860113520317</v>
      </c>
      <c r="G669" s="13">
        <f t="shared" si="32"/>
        <v>6.6240495047280135</v>
      </c>
    </row>
    <row r="670" spans="1:7" x14ac:dyDescent="0.2">
      <c r="A670" s="9">
        <v>46251</v>
      </c>
      <c r="B670" s="1">
        <v>4.2707122586209403</v>
      </c>
      <c r="C670" s="1">
        <v>5.1271110736710996</v>
      </c>
      <c r="D670" s="1">
        <v>5.9474695565482998</v>
      </c>
      <c r="E670" s="13">
        <f t="shared" si="30"/>
        <v>167.67572979273595</v>
      </c>
      <c r="F670" s="13">
        <f t="shared" si="31"/>
        <v>1.9080527992389023</v>
      </c>
      <c r="G670" s="13">
        <f t="shared" si="32"/>
        <v>3.3998198731519658</v>
      </c>
    </row>
    <row r="671" spans="1:7" x14ac:dyDescent="0.2">
      <c r="A671" s="9">
        <v>46252</v>
      </c>
      <c r="B671" s="1">
        <v>4.2882209450630304</v>
      </c>
      <c r="C671" s="1">
        <v>5.1513500562032197</v>
      </c>
      <c r="D671" s="1">
        <v>5.9667470370096396</v>
      </c>
      <c r="E671" s="13">
        <f t="shared" si="30"/>
        <v>167.85260919466091</v>
      </c>
      <c r="F671" s="13">
        <f t="shared" si="31"/>
        <v>0.17687940192496399</v>
      </c>
      <c r="G671" s="13">
        <f t="shared" si="32"/>
        <v>2.423898253212009</v>
      </c>
    </row>
    <row r="672" spans="1:7" x14ac:dyDescent="0.2">
      <c r="A672" s="9">
        <v>46253</v>
      </c>
      <c r="B672" s="1">
        <v>4.2761939034174397</v>
      </c>
      <c r="C672" s="1">
        <v>5.1236681742693602</v>
      </c>
      <c r="D672" s="1">
        <v>5.9244577864057497</v>
      </c>
      <c r="E672" s="13">
        <f t="shared" si="30"/>
        <v>164.82638829883101</v>
      </c>
      <c r="F672" s="13">
        <f t="shared" si="31"/>
        <v>-3.0262208958299084</v>
      </c>
      <c r="G672" s="13">
        <f t="shared" si="32"/>
        <v>-2.7681881933859565</v>
      </c>
    </row>
    <row r="673" spans="1:7" x14ac:dyDescent="0.2">
      <c r="A673" s="9">
        <v>46254</v>
      </c>
      <c r="B673" s="1">
        <v>4.2821713014566596</v>
      </c>
      <c r="C673" s="1">
        <v>5.1276136322230199</v>
      </c>
      <c r="D673" s="1">
        <v>5.9265696260385603</v>
      </c>
      <c r="E673" s="13">
        <f t="shared" si="30"/>
        <v>164.43983245819007</v>
      </c>
      <c r="F673" s="13">
        <f t="shared" si="31"/>
        <v>-0.38655584064093773</v>
      </c>
      <c r="G673" s="13">
        <f t="shared" si="32"/>
        <v>0.39454579536597478</v>
      </c>
    </row>
    <row r="674" spans="1:7" x14ac:dyDescent="0.2">
      <c r="A674" s="9">
        <v>46255</v>
      </c>
      <c r="B674" s="1">
        <v>4.2707359446624897</v>
      </c>
      <c r="C674" s="1">
        <v>5.1339946746135396</v>
      </c>
      <c r="D674" s="1">
        <v>5.9380052910235701</v>
      </c>
      <c r="E674" s="13">
        <f t="shared" si="30"/>
        <v>166.72693463610804</v>
      </c>
      <c r="F674" s="13">
        <f t="shared" si="31"/>
        <v>2.2871021779179728</v>
      </c>
      <c r="G674" s="13">
        <f t="shared" si="32"/>
        <v>0.63810423905197311</v>
      </c>
    </row>
    <row r="675" spans="1:7" x14ac:dyDescent="0.2">
      <c r="A675" s="9">
        <v>46258</v>
      </c>
      <c r="B675" s="1">
        <v>4.2929187775842301</v>
      </c>
      <c r="C675" s="1">
        <v>5.1317757710991101</v>
      </c>
      <c r="D675" s="1">
        <v>5.9252777842980704</v>
      </c>
      <c r="E675" s="13">
        <f t="shared" si="30"/>
        <v>163.23590067138403</v>
      </c>
      <c r="F675" s="13">
        <f t="shared" si="31"/>
        <v>-3.4910339647240107</v>
      </c>
      <c r="G675" s="13">
        <f t="shared" si="32"/>
        <v>-0.22189035144295488</v>
      </c>
    </row>
    <row r="676" spans="1:7" x14ac:dyDescent="0.2">
      <c r="A676" s="9">
        <v>46259</v>
      </c>
      <c r="B676" s="1">
        <v>4.2366226233463102</v>
      </c>
      <c r="C676" s="1">
        <v>5.0774628160827904</v>
      </c>
      <c r="D676" s="1">
        <v>5.8636676569032797</v>
      </c>
      <c r="E676" s="13">
        <f t="shared" si="30"/>
        <v>162.70450335569694</v>
      </c>
      <c r="F676" s="13">
        <f t="shared" si="31"/>
        <v>-0.53139731568708726</v>
      </c>
      <c r="G676" s="13">
        <f t="shared" si="32"/>
        <v>-5.4312955016319719</v>
      </c>
    </row>
    <row r="677" spans="1:7" x14ac:dyDescent="0.2">
      <c r="A677" s="9">
        <v>46260</v>
      </c>
      <c r="B677" s="1">
        <v>4.2500819699683801</v>
      </c>
      <c r="C677" s="1">
        <v>5.0928815159406797</v>
      </c>
      <c r="D677" s="1">
        <v>5.8833140900044203</v>
      </c>
      <c r="E677" s="13">
        <f t="shared" si="30"/>
        <v>163.32321200360403</v>
      </c>
      <c r="F677" s="13">
        <f t="shared" si="31"/>
        <v>0.61870864790708424</v>
      </c>
      <c r="G677" s="13">
        <f t="shared" si="32"/>
        <v>1.5418699857889351</v>
      </c>
    </row>
    <row r="678" spans="1:7" x14ac:dyDescent="0.2">
      <c r="A678" s="9">
        <v>46261</v>
      </c>
      <c r="B678" s="1">
        <v>4.2701110665990898</v>
      </c>
      <c r="C678" s="1">
        <v>5.10545248374879</v>
      </c>
      <c r="D678" s="1">
        <v>5.8865363340574</v>
      </c>
      <c r="E678" s="13">
        <f t="shared" si="30"/>
        <v>161.64252674583102</v>
      </c>
      <c r="F678" s="13">
        <f t="shared" si="31"/>
        <v>-1.6806852577730069</v>
      </c>
      <c r="G678" s="13">
        <f t="shared" si="32"/>
        <v>1.2570967808110289</v>
      </c>
    </row>
    <row r="679" spans="1:7" x14ac:dyDescent="0.2">
      <c r="A679" s="9">
        <v>46262</v>
      </c>
      <c r="B679" s="1">
        <v>4.3190507577902704</v>
      </c>
      <c r="C679" s="1">
        <v>5.1410246305417804</v>
      </c>
      <c r="D679" s="1">
        <v>5.9061978085993703</v>
      </c>
      <c r="E679" s="13">
        <f t="shared" si="30"/>
        <v>158.71470508090999</v>
      </c>
      <c r="F679" s="13">
        <f t="shared" si="31"/>
        <v>-2.9278216649210265</v>
      </c>
      <c r="G679" s="13">
        <f t="shared" si="32"/>
        <v>3.5572146792990367</v>
      </c>
    </row>
    <row r="680" spans="1:7" x14ac:dyDescent="0.2">
      <c r="A680" s="9">
        <v>46266</v>
      </c>
      <c r="B680" s="1">
        <v>4.3859491279653398</v>
      </c>
      <c r="C680" s="1">
        <v>5.2067691070027502</v>
      </c>
      <c r="D680" s="1">
        <v>5.9649278152740699</v>
      </c>
      <c r="E680" s="13">
        <f t="shared" si="30"/>
        <v>157.89786873087303</v>
      </c>
      <c r="F680" s="13">
        <f t="shared" si="31"/>
        <v>-0.81683635003696509</v>
      </c>
      <c r="G680" s="13">
        <f t="shared" si="32"/>
        <v>6.5744476460969814</v>
      </c>
    </row>
    <row r="681" spans="1:7" x14ac:dyDescent="0.2">
      <c r="A681" s="9">
        <v>46267</v>
      </c>
      <c r="B681" s="1">
        <v>4.4217979404680303</v>
      </c>
      <c r="C681" s="1">
        <v>5.2416325906620402</v>
      </c>
      <c r="D681" s="1">
        <v>5.99378319848371</v>
      </c>
      <c r="E681" s="13">
        <f t="shared" si="30"/>
        <v>157.19852580156797</v>
      </c>
      <c r="F681" s="13">
        <f t="shared" si="31"/>
        <v>-0.69934292930506103</v>
      </c>
      <c r="G681" s="13">
        <f t="shared" si="32"/>
        <v>3.486348365929004</v>
      </c>
    </row>
    <row r="682" spans="1:7" x14ac:dyDescent="0.2">
      <c r="A682" s="9">
        <v>46268</v>
      </c>
      <c r="B682" s="1">
        <v>4.33701190864039</v>
      </c>
      <c r="C682" s="1">
        <v>5.15750840151484</v>
      </c>
      <c r="D682" s="1">
        <v>5.9226614699855498</v>
      </c>
      <c r="E682" s="13">
        <f t="shared" si="30"/>
        <v>158.56495613451597</v>
      </c>
      <c r="F682" s="13">
        <f t="shared" si="31"/>
        <v>1.3664303329479992</v>
      </c>
      <c r="G682" s="13">
        <f t="shared" si="32"/>
        <v>-8.4124189147200212</v>
      </c>
    </row>
    <row r="683" spans="1:7" x14ac:dyDescent="0.2">
      <c r="A683" s="9">
        <v>46269</v>
      </c>
      <c r="B683" s="1">
        <v>4.3401467610004598</v>
      </c>
      <c r="C683" s="1">
        <v>5.1425130553821896</v>
      </c>
      <c r="D683" s="1">
        <v>5.9030782185908803</v>
      </c>
      <c r="E683" s="13">
        <f t="shared" si="30"/>
        <v>156.29314575904206</v>
      </c>
      <c r="F683" s="13">
        <f t="shared" si="31"/>
        <v>-2.2718103754739047</v>
      </c>
      <c r="G683" s="13">
        <f t="shared" si="32"/>
        <v>-1.4995346132650411</v>
      </c>
    </row>
    <row r="684" spans="1:7" x14ac:dyDescent="0.2">
      <c r="A684" s="9">
        <v>46272</v>
      </c>
      <c r="B684" s="1">
        <v>4.3733034105445503</v>
      </c>
      <c r="C684" s="1">
        <v>5.17745693825304</v>
      </c>
      <c r="D684" s="1">
        <v>5.9367834478246397</v>
      </c>
      <c r="E684" s="13">
        <f t="shared" si="30"/>
        <v>156.34800372800893</v>
      </c>
      <c r="F684" s="13">
        <f t="shared" si="31"/>
        <v>5.485796896687134E-2</v>
      </c>
      <c r="G684" s="13">
        <f t="shared" si="32"/>
        <v>3.4943882870850373</v>
      </c>
    </row>
    <row r="685" spans="1:7" x14ac:dyDescent="0.2">
      <c r="A685" s="9">
        <v>46273</v>
      </c>
      <c r="B685" s="1">
        <v>4.3823265712953097</v>
      </c>
      <c r="C685" s="1">
        <v>5.1625985335013</v>
      </c>
      <c r="D685" s="1">
        <v>5.9123930249742296</v>
      </c>
      <c r="E685" s="13">
        <f t="shared" si="30"/>
        <v>153.00664536789199</v>
      </c>
      <c r="F685" s="13">
        <f t="shared" si="31"/>
        <v>-3.3413583601169421</v>
      </c>
      <c r="G685" s="13">
        <f t="shared" si="32"/>
        <v>-1.485840475173994</v>
      </c>
    </row>
    <row r="686" spans="1:7" x14ac:dyDescent="0.2">
      <c r="A686" s="9">
        <v>46274</v>
      </c>
      <c r="B686" s="1">
        <v>4.4821473122101301</v>
      </c>
      <c r="C686" s="1">
        <v>5.2493002729396396</v>
      </c>
      <c r="D686" s="1">
        <v>5.97219249778004</v>
      </c>
      <c r="E686" s="13">
        <f t="shared" si="30"/>
        <v>149.004518556991</v>
      </c>
      <c r="F686" s="13">
        <f t="shared" si="31"/>
        <v>-4.0021268109009895</v>
      </c>
      <c r="G686" s="13">
        <f t="shared" si="32"/>
        <v>8.6701739438339587</v>
      </c>
    </row>
    <row r="687" spans="1:7" x14ac:dyDescent="0.2">
      <c r="A687" s="9">
        <v>46275</v>
      </c>
      <c r="B687" s="1">
        <v>4.6509003413965999</v>
      </c>
      <c r="C687" s="1">
        <v>5.3572243604351204</v>
      </c>
      <c r="D687" s="1">
        <v>6.0147768906500803</v>
      </c>
      <c r="E687" s="13">
        <f t="shared" si="30"/>
        <v>136.38765492534804</v>
      </c>
      <c r="F687" s="13">
        <f t="shared" si="31"/>
        <v>-12.616863631642957</v>
      </c>
      <c r="G687" s="13">
        <f t="shared" si="32"/>
        <v>10.792408749548077</v>
      </c>
    </row>
    <row r="688" spans="1:7" x14ac:dyDescent="0.2">
      <c r="A688" s="9">
        <v>46276</v>
      </c>
      <c r="B688" s="1">
        <v>4.6238248827216397</v>
      </c>
      <c r="C688" s="1">
        <v>5.3482554349370499</v>
      </c>
      <c r="D688" s="1">
        <v>6.0122382661569098</v>
      </c>
      <c r="E688" s="13">
        <f t="shared" si="30"/>
        <v>138.84133834352701</v>
      </c>
      <c r="F688" s="13">
        <f t="shared" si="31"/>
        <v>2.4536834181789686</v>
      </c>
      <c r="G688" s="13">
        <f t="shared" si="32"/>
        <v>-0.89689254980704902</v>
      </c>
    </row>
    <row r="689" spans="1:7" x14ac:dyDescent="0.2">
      <c r="A689" s="9">
        <v>46279</v>
      </c>
      <c r="B689" s="1">
        <v>4.7153815556220096</v>
      </c>
      <c r="C689" s="1">
        <v>5.3881859205518099</v>
      </c>
      <c r="D689" s="1">
        <v>5.9891341005385597</v>
      </c>
      <c r="E689" s="13">
        <f t="shared" si="30"/>
        <v>127.37525449165501</v>
      </c>
      <c r="F689" s="13">
        <f t="shared" si="31"/>
        <v>-11.466083851872</v>
      </c>
      <c r="G689" s="13">
        <f t="shared" si="32"/>
        <v>3.9930485614759981</v>
      </c>
    </row>
    <row r="690" spans="1:7" x14ac:dyDescent="0.2">
      <c r="A690" s="9">
        <v>46280</v>
      </c>
      <c r="B690" s="1">
        <v>4.6933284466204697</v>
      </c>
      <c r="C690" s="1">
        <v>5.3861296159270502</v>
      </c>
      <c r="D690" s="1">
        <v>6.0162813701631199</v>
      </c>
      <c r="E690" s="13">
        <f t="shared" si="30"/>
        <v>132.29529235426503</v>
      </c>
      <c r="F690" s="13">
        <f t="shared" si="31"/>
        <v>4.9200378626100161</v>
      </c>
      <c r="G690" s="13">
        <f t="shared" si="32"/>
        <v>-0.20563046247596972</v>
      </c>
    </row>
    <row r="691" spans="1:7" x14ac:dyDescent="0.2">
      <c r="A691" s="9">
        <v>46281</v>
      </c>
      <c r="B691" s="1">
        <v>4.54762691106143</v>
      </c>
      <c r="C691" s="1">
        <v>5.2875967598891096</v>
      </c>
      <c r="D691" s="1">
        <v>5.9416373831038198</v>
      </c>
      <c r="E691" s="13">
        <f t="shared" si="30"/>
        <v>139.40104720423898</v>
      </c>
      <c r="F691" s="13">
        <f t="shared" si="31"/>
        <v>7.1057548499739482</v>
      </c>
      <c r="G691" s="13">
        <f t="shared" si="32"/>
        <v>-9.8532856037940597</v>
      </c>
    </row>
    <row r="692" spans="1:7" x14ac:dyDescent="0.2">
      <c r="A692" s="9">
        <v>46282</v>
      </c>
      <c r="B692" s="1">
        <v>4.5359376783854302</v>
      </c>
      <c r="C692" s="1">
        <v>5.2074008539157903</v>
      </c>
      <c r="D692" s="1">
        <v>5.7825713322427896</v>
      </c>
      <c r="E692" s="13">
        <f t="shared" si="30"/>
        <v>124.66336538573594</v>
      </c>
      <c r="F692" s="13">
        <f t="shared" si="31"/>
        <v>-14.737681818503034</v>
      </c>
      <c r="G692" s="13">
        <f t="shared" si="32"/>
        <v>-8.019590597331927</v>
      </c>
    </row>
    <row r="693" spans="1:7" x14ac:dyDescent="0.2">
      <c r="A693" s="9">
        <v>46283</v>
      </c>
      <c r="B693" s="1">
        <v>4.6581986116458998</v>
      </c>
      <c r="C693" s="1">
        <v>5.2899458417677998</v>
      </c>
      <c r="D693" s="1">
        <v>5.7463101108982304</v>
      </c>
      <c r="E693" s="13">
        <f t="shared" si="30"/>
        <v>108.81114992523307</v>
      </c>
      <c r="F693" s="13">
        <f t="shared" si="31"/>
        <v>-15.852215460502876</v>
      </c>
      <c r="G693" s="13">
        <f t="shared" si="32"/>
        <v>8.2544987852009477</v>
      </c>
    </row>
    <row r="694" spans="1:7" x14ac:dyDescent="0.2">
      <c r="A694" s="9">
        <v>46286</v>
      </c>
      <c r="B694" s="1">
        <v>4.5610531311436597</v>
      </c>
      <c r="C694" s="1">
        <v>5.19350457971513</v>
      </c>
      <c r="D694" s="1">
        <v>5.7301007528391397</v>
      </c>
      <c r="E694" s="13">
        <f t="shared" si="30"/>
        <v>116.90476216954799</v>
      </c>
      <c r="F694" s="13">
        <f t="shared" si="31"/>
        <v>8.0936122443149259</v>
      </c>
      <c r="G694" s="13">
        <f t="shared" si="32"/>
        <v>-9.6441262052669785</v>
      </c>
    </row>
    <row r="695" spans="1:7" x14ac:dyDescent="0.2">
      <c r="A695" s="9">
        <v>46287</v>
      </c>
      <c r="B695" s="1">
        <v>4.5736603076041504</v>
      </c>
      <c r="C695" s="1">
        <v>5.2113326207618798</v>
      </c>
      <c r="D695" s="1">
        <v>5.7709251396592496</v>
      </c>
      <c r="E695" s="13">
        <f t="shared" si="30"/>
        <v>119.72648320550991</v>
      </c>
      <c r="F695" s="13">
        <f t="shared" si="31"/>
        <v>2.8217210359619145</v>
      </c>
      <c r="G695" s="13">
        <f t="shared" si="32"/>
        <v>1.7828041046749732</v>
      </c>
    </row>
    <row r="696" spans="1:7" x14ac:dyDescent="0.2">
      <c r="A696" s="9">
        <v>46288</v>
      </c>
      <c r="B696" s="1">
        <v>4.6699215626300798</v>
      </c>
      <c r="C696" s="1">
        <v>5.3055459206088598</v>
      </c>
      <c r="D696" s="1">
        <v>5.8429211909770897</v>
      </c>
      <c r="E696" s="13">
        <f t="shared" si="30"/>
        <v>117.29996283470099</v>
      </c>
      <c r="F696" s="13">
        <f t="shared" si="31"/>
        <v>-2.426520370808916</v>
      </c>
      <c r="G696" s="13">
        <f t="shared" si="32"/>
        <v>9.4213299846980014</v>
      </c>
    </row>
    <row r="697" spans="1:7" x14ac:dyDescent="0.2">
      <c r="A697" s="9">
        <v>46289</v>
      </c>
      <c r="B697" s="1">
        <v>4.6938723109311598</v>
      </c>
      <c r="C697" s="1">
        <v>5.3612817318750796</v>
      </c>
      <c r="D697" s="1">
        <v>5.9011736144100997</v>
      </c>
      <c r="E697" s="13">
        <f t="shared" si="30"/>
        <v>120.73013034789399</v>
      </c>
      <c r="F697" s="13">
        <f t="shared" si="31"/>
        <v>3.4301675131929983</v>
      </c>
      <c r="G697" s="13">
        <f t="shared" si="32"/>
        <v>5.5735811266219848</v>
      </c>
    </row>
    <row r="698" spans="1:7" x14ac:dyDescent="0.2">
      <c r="A698" s="9">
        <v>46290</v>
      </c>
      <c r="B698" s="1">
        <v>4.6395043337886301</v>
      </c>
      <c r="C698" s="1">
        <v>5.3841987434910701</v>
      </c>
      <c r="D698" s="1">
        <v>5.9295661343609298</v>
      </c>
      <c r="E698" s="13">
        <f t="shared" si="30"/>
        <v>129.00618005722998</v>
      </c>
      <c r="F698" s="13">
        <f t="shared" si="31"/>
        <v>8.276049709335993</v>
      </c>
      <c r="G698" s="13">
        <f t="shared" si="32"/>
        <v>2.2917011615990468</v>
      </c>
    </row>
    <row r="699" spans="1:7" x14ac:dyDescent="0.2">
      <c r="A699" s="9">
        <v>46293</v>
      </c>
      <c r="B699" s="1">
        <v>4.7129858900551902</v>
      </c>
      <c r="C699" s="1">
        <v>5.4122768844394704</v>
      </c>
      <c r="D699" s="1">
        <v>5.9599646735840004</v>
      </c>
      <c r="E699" s="13">
        <f t="shared" si="30"/>
        <v>124.69787835288102</v>
      </c>
      <c r="F699" s="13">
        <f t="shared" si="31"/>
        <v>-4.3083017043489633</v>
      </c>
      <c r="G699" s="13">
        <f t="shared" si="32"/>
        <v>2.8078140948400332</v>
      </c>
    </row>
    <row r="700" spans="1:7" x14ac:dyDescent="0.2">
      <c r="A700" s="9">
        <v>46294</v>
      </c>
      <c r="B700" s="1">
        <v>4.6848274699022001</v>
      </c>
      <c r="C700" s="1">
        <v>5.3806922232448802</v>
      </c>
      <c r="D700" s="1">
        <v>5.96268750595019</v>
      </c>
      <c r="E700" s="13">
        <f t="shared" si="30"/>
        <v>127.78600360479899</v>
      </c>
      <c r="F700" s="13">
        <f t="shared" si="31"/>
        <v>3.0881252519179725</v>
      </c>
      <c r="G700" s="13">
        <f t="shared" si="32"/>
        <v>-3.1584661194590247</v>
      </c>
    </row>
    <row r="701" spans="1:7" x14ac:dyDescent="0.2">
      <c r="A701" s="9">
        <v>46295</v>
      </c>
      <c r="B701" s="1">
        <v>4.6624611736979702</v>
      </c>
      <c r="C701" s="1">
        <v>5.4028076849434798</v>
      </c>
      <c r="D701" s="1">
        <v>5.9973511958285801</v>
      </c>
      <c r="E701" s="13">
        <f t="shared" si="30"/>
        <v>133.48900221306099</v>
      </c>
      <c r="F701" s="13">
        <f t="shared" si="31"/>
        <v>5.7029986082619928</v>
      </c>
      <c r="G701" s="13">
        <f t="shared" si="32"/>
        <v>2.2115461698599681</v>
      </c>
    </row>
    <row r="702" spans="1:7" x14ac:dyDescent="0.2">
      <c r="A702" s="9">
        <v>46296</v>
      </c>
      <c r="B702" s="1">
        <v>4.6007787599199697</v>
      </c>
      <c r="C702" s="1">
        <v>5.4240338362344698</v>
      </c>
      <c r="D702" s="1">
        <v>6.0392642514798798</v>
      </c>
      <c r="E702" s="13">
        <f t="shared" si="30"/>
        <v>143.84854915599101</v>
      </c>
      <c r="F702" s="13">
        <f t="shared" si="31"/>
        <v>10.359546942930024</v>
      </c>
      <c r="G702" s="13">
        <f t="shared" si="32"/>
        <v>2.1226151290989925</v>
      </c>
    </row>
    <row r="703" spans="1:7" x14ac:dyDescent="0.2">
      <c r="A703" s="9">
        <v>46297</v>
      </c>
      <c r="B703" s="1">
        <v>4.6025100716955496</v>
      </c>
      <c r="C703" s="1">
        <v>5.35395179103699</v>
      </c>
      <c r="D703" s="1">
        <v>5.9432427195490201</v>
      </c>
      <c r="E703" s="13">
        <f t="shared" si="30"/>
        <v>134.07326478534705</v>
      </c>
      <c r="F703" s="13">
        <f t="shared" si="31"/>
        <v>-9.7752843706439592</v>
      </c>
      <c r="G703" s="13">
        <f t="shared" si="32"/>
        <v>-7.0082045197479736</v>
      </c>
    </row>
    <row r="704" spans="1:7" x14ac:dyDescent="0.2">
      <c r="A704" s="9">
        <v>46300</v>
      </c>
      <c r="B704" s="1">
        <v>4.6373498398728099</v>
      </c>
      <c r="C704" s="1">
        <v>5.4190888349217499</v>
      </c>
      <c r="D704" s="1">
        <v>6.0103120467712898</v>
      </c>
      <c r="E704" s="13">
        <f t="shared" si="30"/>
        <v>137.29622068984798</v>
      </c>
      <c r="F704" s="13">
        <f t="shared" si="31"/>
        <v>3.2229559045009353</v>
      </c>
      <c r="G704" s="13">
        <f t="shared" si="32"/>
        <v>6.5137043884759827</v>
      </c>
    </row>
    <row r="705" spans="1:7" x14ac:dyDescent="0.2">
      <c r="A705" s="9">
        <v>46301</v>
      </c>
      <c r="B705" s="1">
        <v>4.6124822827048098</v>
      </c>
      <c r="C705" s="1">
        <v>5.3676688524346803</v>
      </c>
      <c r="D705" s="1">
        <v>5.9596628017462399</v>
      </c>
      <c r="E705" s="13">
        <f t="shared" si="30"/>
        <v>134.71805190414301</v>
      </c>
      <c r="F705" s="13">
        <f t="shared" si="31"/>
        <v>-2.5781687857049747</v>
      </c>
      <c r="G705" s="13">
        <f t="shared" si="32"/>
        <v>-5.1419982487069582</v>
      </c>
    </row>
    <row r="706" spans="1:7" x14ac:dyDescent="0.2">
      <c r="A706" s="9"/>
      <c r="B706" s="1"/>
      <c r="C706" s="1"/>
      <c r="D706" s="1"/>
    </row>
    <row r="707" spans="1:7" x14ac:dyDescent="0.2">
      <c r="A707" s="9"/>
      <c r="B707" s="1"/>
      <c r="C707" s="1"/>
      <c r="D707" s="1"/>
    </row>
    <row r="708" spans="1:7" x14ac:dyDescent="0.2">
      <c r="A708" s="9"/>
      <c r="B708" s="1"/>
      <c r="C708" s="1"/>
      <c r="D708" s="1"/>
    </row>
    <row r="709" spans="1:7" x14ac:dyDescent="0.2">
      <c r="A709" s="9"/>
      <c r="B709" s="1"/>
      <c r="C709" s="1"/>
      <c r="D709" s="1"/>
    </row>
    <row r="710" spans="1:7" x14ac:dyDescent="0.2">
      <c r="A710" s="9"/>
      <c r="B710" s="1"/>
      <c r="C710" s="1"/>
      <c r="D710" s="1"/>
    </row>
    <row r="711" spans="1:7" x14ac:dyDescent="0.2">
      <c r="A711" s="9"/>
      <c r="B711" s="1"/>
      <c r="C711" s="1"/>
      <c r="D711" s="1"/>
    </row>
    <row r="712" spans="1:7" x14ac:dyDescent="0.2">
      <c r="A712" s="9"/>
      <c r="B712" s="1"/>
      <c r="C712" s="1"/>
      <c r="D712" s="1"/>
    </row>
    <row r="713" spans="1:7" x14ac:dyDescent="0.2">
      <c r="A713" s="9"/>
      <c r="B713" s="1"/>
      <c r="C713" s="1"/>
      <c r="D713" s="1"/>
    </row>
    <row r="714" spans="1:7" x14ac:dyDescent="0.2">
      <c r="A714" s="9"/>
      <c r="B714" s="1"/>
      <c r="C714" s="1"/>
      <c r="D714" s="1"/>
    </row>
    <row r="715" spans="1:7" x14ac:dyDescent="0.2">
      <c r="A715" s="9"/>
      <c r="B715" s="1"/>
      <c r="C715" s="1"/>
      <c r="D715" s="1"/>
    </row>
    <row r="716" spans="1:7" x14ac:dyDescent="0.2">
      <c r="A716" s="9"/>
      <c r="B716" s="1"/>
      <c r="C716" s="1"/>
      <c r="D716" s="1"/>
    </row>
    <row r="717" spans="1:7" x14ac:dyDescent="0.2">
      <c r="A717" s="9"/>
      <c r="B717" s="1"/>
      <c r="C717" s="1"/>
      <c r="D717" s="1"/>
    </row>
    <row r="718" spans="1:7" x14ac:dyDescent="0.2">
      <c r="A718" s="9"/>
      <c r="B718" s="1"/>
      <c r="C718" s="1"/>
      <c r="D718" s="1"/>
    </row>
    <row r="719" spans="1:7" x14ac:dyDescent="0.2">
      <c r="A719" s="9"/>
      <c r="B719" s="1"/>
      <c r="C719" s="1"/>
      <c r="D719" s="1"/>
    </row>
    <row r="720" spans="1:7" x14ac:dyDescent="0.2">
      <c r="A720" s="9"/>
      <c r="B720" s="1"/>
      <c r="C720" s="1"/>
      <c r="D720" s="1"/>
    </row>
    <row r="721" spans="1:4" x14ac:dyDescent="0.2">
      <c r="A721" s="9"/>
      <c r="B721" s="1"/>
      <c r="C721" s="1"/>
      <c r="D721" s="1"/>
    </row>
    <row r="722" spans="1:4" x14ac:dyDescent="0.2">
      <c r="A722" s="9"/>
      <c r="B722" s="1"/>
      <c r="C722" s="1"/>
      <c r="D722" s="1"/>
    </row>
    <row r="723" spans="1:4" x14ac:dyDescent="0.2">
      <c r="A723" s="9"/>
      <c r="B723" s="1"/>
      <c r="C723" s="1"/>
      <c r="D723" s="1"/>
    </row>
    <row r="724" spans="1:4" x14ac:dyDescent="0.2">
      <c r="A724" s="9"/>
      <c r="B724" s="1"/>
      <c r="C724" s="1"/>
      <c r="D724" s="1"/>
    </row>
    <row r="725" spans="1:4" x14ac:dyDescent="0.2">
      <c r="A725" s="9"/>
      <c r="B725" s="1"/>
      <c r="C725" s="1"/>
      <c r="D725" s="1"/>
    </row>
    <row r="726" spans="1:4" x14ac:dyDescent="0.2">
      <c r="A726" s="9"/>
      <c r="B726" s="1"/>
      <c r="C726" s="1"/>
      <c r="D726" s="1"/>
    </row>
    <row r="727" spans="1:4" x14ac:dyDescent="0.2">
      <c r="A727" s="9"/>
      <c r="B727" s="1"/>
      <c r="C727" s="1"/>
      <c r="D727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2026-10-07T10:10:26Z</dcterms:created>
  <dcterms:modified xsi:type="dcterms:W3CDTF">2026-10-07T19:10:50Z</dcterms:modified>
</cp:coreProperties>
</file>